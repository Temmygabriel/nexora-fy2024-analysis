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sheet" sheetId="1" r:id="rId5"/>
    <sheet state="visible" name="Pivot Table 2" sheetId="2" r:id="rId6"/>
    <sheet state="visible" name="Analysis" sheetId="3" r:id="rId7"/>
    <sheet state="visible" name="Power_BI_Export" sheetId="4" r:id="rId8"/>
  </sheets>
  <definedNames>
    <definedName hidden="1" localSheetId="0" name="_xlnm._FilterDatabase">Cleaned_sheet!$E$1:$E$1000</definedName>
    <definedName hidden="1" localSheetId="0" name="Z_8FC3A10A_A481_47F8_A9D9_63FCCEFBAEA3_.wvu.FilterData">Cleaned_sheet!$N$1:$N$522</definedName>
    <definedName hidden="1" localSheetId="0" name="Z_CE5C8537_0F25_429F_B892_C1441F3080FF_.wvu.FilterData">Cleaned_sheet!$B$1:$B$523</definedName>
    <definedName hidden="1" localSheetId="0" name="Z_10040EAD_E958_458F_A85C_A4A922CFBAD0_.wvu.FilterData">Cleaned_sheet!$O$1:$O$523</definedName>
  </definedNames>
  <calcPr/>
  <customWorkbookViews>
    <customWorkbookView activeSheetId="0" maximized="1" windowHeight="0" windowWidth="0" guid="{8FC3A10A-A481-47F8-A9D9-63FCCEFBAEA3}" name="Filter 1"/>
    <customWorkbookView activeSheetId="0" maximized="1" windowHeight="0" windowWidth="0" guid="{CE5C8537-0F25-429F-B892-C1441F3080FF}" name="Date_filter"/>
    <customWorkbookView activeSheetId="0" maximized="1" windowHeight="0" windowWidth="0" guid="{10040EAD-E958-458F-A85C-A4A922CFBAD0}" name="Date_Clean_Filter"/>
  </customWorkbookViews>
  <pivotCaches>
    <pivotCache cacheId="0" r:id="rId9"/>
  </pivotCaches>
</workbook>
</file>

<file path=xl/sharedStrings.xml><?xml version="1.0" encoding="utf-8"?>
<sst xmlns="http://schemas.openxmlformats.org/spreadsheetml/2006/main" count="9522" uniqueCount="1215">
  <si>
    <t>Transaction ID</t>
  </si>
  <si>
    <t>Date</t>
  </si>
  <si>
    <t>Type</t>
  </si>
  <si>
    <t>Category</t>
  </si>
  <si>
    <t>Department</t>
  </si>
  <si>
    <t>Description</t>
  </si>
  <si>
    <t>Amount (USD)</t>
  </si>
  <si>
    <t>Currency</t>
  </si>
  <si>
    <t>Rep / Vendor</t>
  </si>
  <si>
    <t>Month</t>
  </si>
  <si>
    <t>Quarter</t>
  </si>
  <si>
    <t>Notes</t>
  </si>
  <si>
    <t xml:space="preserve"> </t>
  </si>
  <si>
    <t>Department_Clean</t>
  </si>
  <si>
    <t>Date_Clean</t>
  </si>
  <si>
    <t>Raw Variant</t>
  </si>
  <si>
    <t>Clean Name</t>
  </si>
  <si>
    <t>Month_Clean</t>
  </si>
  <si>
    <t>Quarter_Clean</t>
  </si>
  <si>
    <t>Amount_Clean_USD</t>
  </si>
  <si>
    <t>TXN-1003</t>
  </si>
  <si>
    <t>09-01-2024</t>
  </si>
  <si>
    <t>Revenue</t>
  </si>
  <si>
    <t>Subscription</t>
  </si>
  <si>
    <t>Sales Dept</t>
  </si>
  <si>
    <t>Subscription - Pinnacle Systems</t>
  </si>
  <si>
    <t>USD</t>
  </si>
  <si>
    <t>James Okafor</t>
  </si>
  <si>
    <t>Jan</t>
  </si>
  <si>
    <t>Q1</t>
  </si>
  <si>
    <t>CLOUD</t>
  </si>
  <si>
    <t>Cloud Infrastructure</t>
  </si>
  <si>
    <t>TXN-1519</t>
  </si>
  <si>
    <t>2024-12-25</t>
  </si>
  <si>
    <t>Expense</t>
  </si>
  <si>
    <t>cloud infra</t>
  </si>
  <si>
    <t>Contractor - Delta Airlines</t>
  </si>
  <si>
    <t>Delta Airlines</t>
  </si>
  <si>
    <t>Dec</t>
  </si>
  <si>
    <t>Q4</t>
  </si>
  <si>
    <t>TXN-1083</t>
  </si>
  <si>
    <t>03/20/2024</t>
  </si>
  <si>
    <t>Subscription - Redwood Partners</t>
  </si>
  <si>
    <t>Aisha Rahman</t>
  </si>
  <si>
    <t>Mar</t>
  </si>
  <si>
    <t>TXN-1428</t>
  </si>
  <si>
    <t>October 22, 2024</t>
  </si>
  <si>
    <t>Salary - Accenture</t>
  </si>
  <si>
    <t>Accenture</t>
  </si>
  <si>
    <t>Oct</t>
  </si>
  <si>
    <t>CS</t>
  </si>
  <si>
    <t>Customer Success</t>
  </si>
  <si>
    <t>TXN-1276</t>
  </si>
  <si>
    <t>03-07-2024</t>
  </si>
  <si>
    <t>Marketing</t>
  </si>
  <si>
    <t>marketing</t>
  </si>
  <si>
    <t>Salary - Hilton Hotels</t>
  </si>
  <si>
    <t>Hilton Hotels</t>
  </si>
  <si>
    <t>Jul</t>
  </si>
  <si>
    <t>Q3</t>
  </si>
  <si>
    <t>TXN-1129</t>
  </si>
  <si>
    <t>April 14, 2024</t>
  </si>
  <si>
    <t>Licensing</t>
  </si>
  <si>
    <t>sales</t>
  </si>
  <si>
    <t>Licensing - Redwood Partners</t>
  </si>
  <si>
    <t>Priya Nair</t>
  </si>
  <si>
    <t>Apr</t>
  </si>
  <si>
    <t>Q2</t>
  </si>
  <si>
    <t>Customer Suc.</t>
  </si>
  <si>
    <t>TXN-1348</t>
  </si>
  <si>
    <t>2024-09-15</t>
  </si>
  <si>
    <t>Subscription - Apex Retail</t>
  </si>
  <si>
    <t>Kwame Asante</t>
  </si>
  <si>
    <t>Sep</t>
  </si>
  <si>
    <t>Cust Success</t>
  </si>
  <si>
    <t>TXN-1295</t>
  </si>
  <si>
    <t>07/21/2024</t>
  </si>
  <si>
    <t>Cloud</t>
  </si>
  <si>
    <t>Legal - Salesforce</t>
  </si>
  <si>
    <t>GBP</t>
  </si>
  <si>
    <t>Salesforce</t>
  </si>
  <si>
    <t>Eng</t>
  </si>
  <si>
    <t>Engineering</t>
  </si>
  <si>
    <t>TXN-1170</t>
  </si>
  <si>
    <t>10-05-2024</t>
  </si>
  <si>
    <t>Professional Services</t>
  </si>
  <si>
    <t>Professional Services - Altura Health</t>
  </si>
  <si>
    <t>May</t>
  </si>
  <si>
    <t>TXN-1379</t>
  </si>
  <si>
    <t>Sep-24</t>
  </si>
  <si>
    <t>G&amp;A</t>
  </si>
  <si>
    <t>G and A</t>
  </si>
  <si>
    <t>Legal - WeWork</t>
  </si>
  <si>
    <t>WeWork</t>
  </si>
  <si>
    <t>R&amp;D</t>
  </si>
  <si>
    <t>TXN-1131</t>
  </si>
  <si>
    <t>06/04/2024</t>
  </si>
  <si>
    <t>SALES</t>
  </si>
  <si>
    <t>Licensing - BlueSky Logistics</t>
  </si>
  <si>
    <t>engineering</t>
  </si>
  <si>
    <t>TXN-1117</t>
  </si>
  <si>
    <t>Mar-24</t>
  </si>
  <si>
    <t>Recruiting - Randstad</t>
  </si>
  <si>
    <t>Randstad</t>
  </si>
  <si>
    <t>G &amp; A</t>
  </si>
  <si>
    <t>TXN-1328</t>
  </si>
  <si>
    <t>Aug-24</t>
  </si>
  <si>
    <t>Salary - Delta Airlines</t>
  </si>
  <si>
    <t>Aug</t>
  </si>
  <si>
    <t>TXN-1225</t>
  </si>
  <si>
    <t>2024-06-28</t>
  </si>
  <si>
    <t>Sales</t>
  </si>
  <si>
    <t>Ad Spend - Hilton Hotels</t>
  </si>
  <si>
    <t>Jun</t>
  </si>
  <si>
    <t>General &amp; Admin</t>
  </si>
  <si>
    <t>TXN-1369</t>
  </si>
  <si>
    <t>2024-09-05</t>
  </si>
  <si>
    <t>Software License - Slack</t>
  </si>
  <si>
    <t>Slack</t>
  </si>
  <si>
    <t>TXN-1272</t>
  </si>
  <si>
    <t>02-07-2024</t>
  </si>
  <si>
    <t>AWS/Cloud - Delta Airlines</t>
  </si>
  <si>
    <t>TXN-1058</t>
  </si>
  <si>
    <t>02/20/2024</t>
  </si>
  <si>
    <t>Mktg</t>
  </si>
  <si>
    <t>Travel - Hilton Hotels</t>
  </si>
  <si>
    <t>Feb</t>
  </si>
  <si>
    <t>TXN-1001</t>
  </si>
  <si>
    <t>Jan-24</t>
  </si>
  <si>
    <t>Sofia Andersen</t>
  </si>
  <si>
    <t>Mktng</t>
  </si>
  <si>
    <t>TXN-1256</t>
  </si>
  <si>
    <t>26-07-2024</t>
  </si>
  <si>
    <t>Subscription - TechNova Ltd</t>
  </si>
  <si>
    <t>Tom Bradley</t>
  </si>
  <si>
    <t>TXN-1253</t>
  </si>
  <si>
    <t>July 06, 2024</t>
  </si>
  <si>
    <t>Daniel Müller</t>
  </si>
  <si>
    <t>TXN-1471</t>
  </si>
  <si>
    <t>23-11-2024</t>
  </si>
  <si>
    <t>PR Agency - Zoom</t>
  </si>
  <si>
    <t>Zoom</t>
  </si>
  <si>
    <t>Nov</t>
  </si>
  <si>
    <t>TXN-1385</t>
  </si>
  <si>
    <t>09/23/2024</t>
  </si>
  <si>
    <t>Cloud Infra</t>
  </si>
  <si>
    <t>Ad Spend - Linklaters LLP</t>
  </si>
  <si>
    <t>Linklaters LLP</t>
  </si>
  <si>
    <t>TXN-1389</t>
  </si>
  <si>
    <t>10/10/2024</t>
  </si>
  <si>
    <t>TXN-1402</t>
  </si>
  <si>
    <t>October 13, 2024</t>
  </si>
  <si>
    <t>Licensing - Altura Health</t>
  </si>
  <si>
    <t>TXN-1279</t>
  </si>
  <si>
    <t>July 26, 2024</t>
  </si>
  <si>
    <t>Ad Spend - Zoom</t>
  </si>
  <si>
    <t>TXN-1199</t>
  </si>
  <si>
    <t>May 14, 2024</t>
  </si>
  <si>
    <t>PR Agency - Delta Airlines</t>
  </si>
  <si>
    <t>TXN-1206</t>
  </si>
  <si>
    <t>2024-05-22</t>
  </si>
  <si>
    <t>Software License - Randstad</t>
  </si>
  <si>
    <t>TXN-1045</t>
  </si>
  <si>
    <t>2024-02-05</t>
  </si>
  <si>
    <t>Professional Services - Synapse AI</t>
  </si>
  <si>
    <t>TXN-1517</t>
  </si>
  <si>
    <t>12/05/2024</t>
  </si>
  <si>
    <t>Salary - AWS</t>
  </si>
  <si>
    <t>AWS</t>
  </si>
  <si>
    <t>TXN-1108</t>
  </si>
  <si>
    <t>2024-03-25</t>
  </si>
  <si>
    <t>AWS/Cloud - Randstad</t>
  </si>
  <si>
    <t>TXN-1334</t>
  </si>
  <si>
    <t>August 08, 2024</t>
  </si>
  <si>
    <t>Travel - Slack</t>
  </si>
  <si>
    <t>TXN-1032</t>
  </si>
  <si>
    <t>22/01/2024</t>
  </si>
  <si>
    <t>Ad Spend - WeWork</t>
  </si>
  <si>
    <t>TXN-1232</t>
  </si>
  <si>
    <t>06/06/2024</t>
  </si>
  <si>
    <t>Software License - Linklaters LLP</t>
  </si>
  <si>
    <t>TXN-1159</t>
  </si>
  <si>
    <t>28-04-2024</t>
  </si>
  <si>
    <t>Ad Spend - Delta Airlines</t>
  </si>
  <si>
    <t>TXN-1118</t>
  </si>
  <si>
    <t>20-03-2024</t>
  </si>
  <si>
    <t>TXN-1211</t>
  </si>
  <si>
    <t>Subscription - Orion Media</t>
  </si>
  <si>
    <t>TXN-1352</t>
  </si>
  <si>
    <t>September 19, 2024</t>
  </si>
  <si>
    <t>Professional Services - Vertex Analytics</t>
  </si>
  <si>
    <t>TXN-1374</t>
  </si>
  <si>
    <t>19-09-2024</t>
  </si>
  <si>
    <t>Travel - Linklaters LLP</t>
  </si>
  <si>
    <t>TXN-1229</t>
  </si>
  <si>
    <t>06/03/2024</t>
  </si>
  <si>
    <t>MARKETING</t>
  </si>
  <si>
    <t>AWS/Cloud - WeWork</t>
  </si>
  <si>
    <t>TXN-1212</t>
  </si>
  <si>
    <t>01-06-2024</t>
  </si>
  <si>
    <t>TXN-1280</t>
  </si>
  <si>
    <t>15/07/2024</t>
  </si>
  <si>
    <t>Office Supplies - WeWork</t>
  </si>
  <si>
    <t>TXN-1148</t>
  </si>
  <si>
    <t>04/16/2024</t>
  </si>
  <si>
    <t>Legal - HubSpot</t>
  </si>
  <si>
    <t>HubSpot</t>
  </si>
  <si>
    <t>TXN-1145</t>
  </si>
  <si>
    <t>2024-04-18</t>
  </si>
  <si>
    <t>Travel - WeWork</t>
  </si>
  <si>
    <t>TXN-1094</t>
  </si>
  <si>
    <t>15-03-2024</t>
  </si>
  <si>
    <t>Licensing - Orion Media</t>
  </si>
  <si>
    <t>Lena Fischer</t>
  </si>
  <si>
    <t>TXN-1168</t>
  </si>
  <si>
    <t>28/05/2024</t>
  </si>
  <si>
    <t>Professional Services - TechNova Ltd</t>
  </si>
  <si>
    <t>TXN-1220</t>
  </si>
  <si>
    <t>22/06/2024</t>
  </si>
  <si>
    <t>TXN-1222</t>
  </si>
  <si>
    <t>07-06-2024</t>
  </si>
  <si>
    <t>Licensing - Vertex Analytics</t>
  </si>
  <si>
    <t>TXN-1091</t>
  </si>
  <si>
    <t>2024-03-20</t>
  </si>
  <si>
    <t>Licensing - ClearPath Finance</t>
  </si>
  <si>
    <t>TXN-1478</t>
  </si>
  <si>
    <t>December 10, 2024</t>
  </si>
  <si>
    <t>Subscription - Vertex Analytics</t>
  </si>
  <si>
    <t>TXN-1035</t>
  </si>
  <si>
    <t>2024-01-28</t>
  </si>
  <si>
    <t>Legal - Google Cloud</t>
  </si>
  <si>
    <t>Google Cloud</t>
  </si>
  <si>
    <t>TXN-1246</t>
  </si>
  <si>
    <t>19-06-2024</t>
  </si>
  <si>
    <t>TXN-1318</t>
  </si>
  <si>
    <t>August 25, 2024</t>
  </si>
  <si>
    <t>Recruiting - Omnicom Group</t>
  </si>
  <si>
    <t>Omnicom Group</t>
  </si>
  <si>
    <t>TXN-1486</t>
  </si>
  <si>
    <t>Dec-24</t>
  </si>
  <si>
    <t>Professional Services - Globex Corp</t>
  </si>
  <si>
    <t>TXN-1448</t>
  </si>
  <si>
    <t>20-11-2024</t>
  </si>
  <si>
    <t>TXN-1301</t>
  </si>
  <si>
    <t>08/31/2024</t>
  </si>
  <si>
    <t>Subscription - Globex Corp</t>
  </si>
  <si>
    <t>TXN-1134</t>
  </si>
  <si>
    <t>Apr-24</t>
  </si>
  <si>
    <t>TXN-1354</t>
  </si>
  <si>
    <t>September 10, 2024</t>
  </si>
  <si>
    <t>Professional Services - ClearPath Finance</t>
  </si>
  <si>
    <t>TXN-1128</t>
  </si>
  <si>
    <t>18/04/2024</t>
  </si>
  <si>
    <t>Professional Services - Pinnacle Systems</t>
  </si>
  <si>
    <t>TXN-1292</t>
  </si>
  <si>
    <t>July 07, 2024</t>
  </si>
  <si>
    <t>Software License - Google Cloud</t>
  </si>
  <si>
    <t>TXN-1357</t>
  </si>
  <si>
    <t>TXN-1456</t>
  </si>
  <si>
    <t>11/16/2024</t>
  </si>
  <si>
    <t>PR Agency - WeWork</t>
  </si>
  <si>
    <t>TXN-1506</t>
  </si>
  <si>
    <t>TXN-1130</t>
  </si>
  <si>
    <t>2024-04-05</t>
  </si>
  <si>
    <t>Licensing - Pinnacle Systems</t>
  </si>
  <si>
    <t>TXN-1487</t>
  </si>
  <si>
    <t>TXN-1188</t>
  </si>
  <si>
    <t>18/05/2024</t>
  </si>
  <si>
    <t>TXN-1485</t>
  </si>
  <si>
    <t>12/29/2024</t>
  </si>
  <si>
    <t>TXN-1264</t>
  </si>
  <si>
    <t>07/11/2024</t>
  </si>
  <si>
    <t>Professional Services - Apex Retail</t>
  </si>
  <si>
    <t>TXN-1390</t>
  </si>
  <si>
    <t>13-10-2024</t>
  </si>
  <si>
    <t>Subscription - Synapse AI</t>
  </si>
  <si>
    <t>TXN-1203</t>
  </si>
  <si>
    <t>29/05/2024</t>
  </si>
  <si>
    <t>AWS/Cloud - HubSpot</t>
  </si>
  <si>
    <t>TXN-1216</t>
  </si>
  <si>
    <t>14-06-2024</t>
  </si>
  <si>
    <t>Professional Services - Orion Media</t>
  </si>
  <si>
    <t>TXN-1401</t>
  </si>
  <si>
    <t>21/10/2024</t>
  </si>
  <si>
    <t>Licensing - Globex Corp</t>
  </si>
  <si>
    <t>TXN-1339</t>
  </si>
  <si>
    <t>August 09, 2024</t>
  </si>
  <si>
    <t>Recruiting - Salesforce</t>
  </si>
  <si>
    <t>TXN-1116</t>
  </si>
  <si>
    <t>03/18/2024</t>
  </si>
  <si>
    <t>Travel - Accenture</t>
  </si>
  <si>
    <t>TXN-1340</t>
  </si>
  <si>
    <t>August 19, 2024</t>
  </si>
  <si>
    <t>Salary - HubSpot</t>
  </si>
  <si>
    <t>TXN-1185</t>
  </si>
  <si>
    <t>May-24</t>
  </si>
  <si>
    <t>TXN-1077</t>
  </si>
  <si>
    <t>02/27/2024</t>
  </si>
  <si>
    <t>Contractor - Accenture</t>
  </si>
  <si>
    <t>TXN-1260</t>
  </si>
  <si>
    <t>09/07/2024</t>
  </si>
  <si>
    <t>Professional Services - Redwood Partners</t>
  </si>
  <si>
    <t>TXN-1099</t>
  </si>
  <si>
    <t>Contractor - Linklaters LLP</t>
  </si>
  <si>
    <t>TXN-1064</t>
  </si>
  <si>
    <t>22-02-2024</t>
  </si>
  <si>
    <t>TXN-1004</t>
  </si>
  <si>
    <t>TXN-1050</t>
  </si>
  <si>
    <t>29-02-2024</t>
  </si>
  <si>
    <t>Licensing - Apex Retail</t>
  </si>
  <si>
    <t>TXN-1418</t>
  </si>
  <si>
    <t>Oct-24</t>
  </si>
  <si>
    <t>Recruiting - Google Cloud</t>
  </si>
  <si>
    <t>TXN-1430</t>
  </si>
  <si>
    <t>October 27, 2024</t>
  </si>
  <si>
    <t>TXN-1396</t>
  </si>
  <si>
    <t>2024-10-01</t>
  </si>
  <si>
    <t>TXN-1287</t>
  </si>
  <si>
    <t>03/07/2024</t>
  </si>
  <si>
    <t>TXN-1073</t>
  </si>
  <si>
    <t>26/02/2024</t>
  </si>
  <si>
    <t>AWS/Cloud - Linklaters LLP</t>
  </si>
  <si>
    <t>TXN-1397</t>
  </si>
  <si>
    <t>TXN-1215</t>
  </si>
  <si>
    <t>21/06/2024</t>
  </si>
  <si>
    <t>TXN-1068</t>
  </si>
  <si>
    <t>01/02/2024</t>
  </si>
  <si>
    <t>AWS/Cloud - Omnicom Group</t>
  </si>
  <si>
    <t>TXN-1336</t>
  </si>
  <si>
    <t>02/08/2024</t>
  </si>
  <si>
    <t>AWS/Cloud - Slack</t>
  </si>
  <si>
    <t>TXN-1233</t>
  </si>
  <si>
    <t>Jun-24</t>
  </si>
  <si>
    <t>TXN-1312</t>
  </si>
  <si>
    <t>25/08/2024</t>
  </si>
  <si>
    <t>Licensing - Synapse AI</t>
  </si>
  <si>
    <t>TXN-1475</t>
  </si>
  <si>
    <t>Nov-24</t>
  </si>
  <si>
    <t>AWS/Cloud - Zoom</t>
  </si>
  <si>
    <t>TXN-1365</t>
  </si>
  <si>
    <t>29/09/2024</t>
  </si>
  <si>
    <t>TXN-1412</t>
  </si>
  <si>
    <t>10/21/2024</t>
  </si>
  <si>
    <t>PR Agency - Slack</t>
  </si>
  <si>
    <t>TXN-1142</t>
  </si>
  <si>
    <t>2024-04-28</t>
  </si>
  <si>
    <t>Ad Spend - Omnicom Group</t>
  </si>
  <si>
    <t>TXN-1137</t>
  </si>
  <si>
    <t>Office Supplies - Randstad</t>
  </si>
  <si>
    <t>TXN-1124</t>
  </si>
  <si>
    <t>25-04-2024</t>
  </si>
  <si>
    <t>TXN-1368</t>
  </si>
  <si>
    <t>27-09-2024</t>
  </si>
  <si>
    <t>PR Agency - HubSpot</t>
  </si>
  <si>
    <t>TXN-1363</t>
  </si>
  <si>
    <t>30-09-2024</t>
  </si>
  <si>
    <t>Salary - Google Cloud</t>
  </si>
  <si>
    <t>TXN-1297</t>
  </si>
  <si>
    <t>05/08/2024</t>
  </si>
  <si>
    <t>Subscription - Meridian Bank</t>
  </si>
  <si>
    <t>TXN-1512</t>
  </si>
  <si>
    <t>12/04/2024</t>
  </si>
  <si>
    <t>Office Supplies - Omnicom Group</t>
  </si>
  <si>
    <t>TXN-1429</t>
  </si>
  <si>
    <t>15-10-2024</t>
  </si>
  <si>
    <t>PR Agency - Hilton Hotels</t>
  </si>
  <si>
    <t>TXN-1204</t>
  </si>
  <si>
    <t>13/05/2024</t>
  </si>
  <si>
    <t>TXN-1267</t>
  </si>
  <si>
    <t>2024-07-25</t>
  </si>
  <si>
    <t>Licensing - TechNova Ltd</t>
  </si>
  <si>
    <t>TXN-1313</t>
  </si>
  <si>
    <t>2024-08-29</t>
  </si>
  <si>
    <t>TXN-1173</t>
  </si>
  <si>
    <t>May 10, 2024</t>
  </si>
  <si>
    <t>TXN-1366</t>
  </si>
  <si>
    <t>September 03, 2024</t>
  </si>
  <si>
    <t>Office Supplies - Delta Airlines</t>
  </si>
  <si>
    <t>TXN-1034</t>
  </si>
  <si>
    <t>01/13/2024</t>
  </si>
  <si>
    <t>Software License - Hilton Hotels</t>
  </si>
  <si>
    <t>TXN-1209</t>
  </si>
  <si>
    <t>TXN-1466</t>
  </si>
  <si>
    <t>26-11-2024</t>
  </si>
  <si>
    <t>Legal - AWS</t>
  </si>
  <si>
    <t>TXN-1382</t>
  </si>
  <si>
    <t>03-09-2024</t>
  </si>
  <si>
    <t>Salary - Omnicom Group</t>
  </si>
  <si>
    <t>TXN-1059</t>
  </si>
  <si>
    <t>2024-02-26</t>
  </si>
  <si>
    <t>Ad Spend - Accenture</t>
  </si>
  <si>
    <t>TXN-1250</t>
  </si>
  <si>
    <t>June 23, 2024</t>
  </si>
  <si>
    <t>Software License - Deloitte</t>
  </si>
  <si>
    <t>Deloitte</t>
  </si>
  <si>
    <t>TXN-1409</t>
  </si>
  <si>
    <t>10/12/2024</t>
  </si>
  <si>
    <t>Ad Spend - AWS</t>
  </si>
  <si>
    <t>TXN-1189</t>
  </si>
  <si>
    <t>2024-05-09</t>
  </si>
  <si>
    <t>TXN-1461</t>
  </si>
  <si>
    <t>PR Agency - Deloitte</t>
  </si>
  <si>
    <t>TXN-1481</t>
  </si>
  <si>
    <t>December 17, 2024</t>
  </si>
  <si>
    <t>TXN-1444</t>
  </si>
  <si>
    <t>01/11/2024</t>
  </si>
  <si>
    <t>TXN-1400</t>
  </si>
  <si>
    <t>17/10/2024</t>
  </si>
  <si>
    <t>TXN-1463</t>
  </si>
  <si>
    <t>28-11-2024</t>
  </si>
  <si>
    <t>Contractor - AWS</t>
  </si>
  <si>
    <t>TXN-1404</t>
  </si>
  <si>
    <t>TXN-1178</t>
  </si>
  <si>
    <t>01-05-2024</t>
  </si>
  <si>
    <t>TXN-1049</t>
  </si>
  <si>
    <t>2024-02-22</t>
  </si>
  <si>
    <t>TXN-1327</t>
  </si>
  <si>
    <t>08/06/2024</t>
  </si>
  <si>
    <t xml:space="preserve">Engineering </t>
  </si>
  <si>
    <t>TXN-1082</t>
  </si>
  <si>
    <t>15/03/2024</t>
  </si>
  <si>
    <t>TXN-1286</t>
  </si>
  <si>
    <t>TXN-1342</t>
  </si>
  <si>
    <t>August 16, 2024</t>
  </si>
  <si>
    <t>TXN-1509</t>
  </si>
  <si>
    <t>12/16/2024</t>
  </si>
  <si>
    <t>Office Supplies - Zoom</t>
  </si>
  <si>
    <t>TXN-1120</t>
  </si>
  <si>
    <t>28/04/2024</t>
  </si>
  <si>
    <t>Subscription - BlueSky Logistics</t>
  </si>
  <si>
    <t>TXN-1408</t>
  </si>
  <si>
    <t>October 26, 2024</t>
  </si>
  <si>
    <t>Legal - Hilton Hotels</t>
  </si>
  <si>
    <t>TXN-1078</t>
  </si>
  <si>
    <t>TXN-1338</t>
  </si>
  <si>
    <t>August 27, 2024</t>
  </si>
  <si>
    <t>Legal - Omnicom Group</t>
  </si>
  <si>
    <t>TXN-1319</t>
  </si>
  <si>
    <t>20/08/2024</t>
  </si>
  <si>
    <t>TXN-1459</t>
  </si>
  <si>
    <t>November 06, 2024</t>
  </si>
  <si>
    <t>Recruiting - Accenture</t>
  </si>
  <si>
    <t>TXN-1074</t>
  </si>
  <si>
    <t>15/02/2024</t>
  </si>
  <si>
    <t>Legal - Randstad</t>
  </si>
  <si>
    <t>TXN-1316</t>
  </si>
  <si>
    <t>AWS/Cloud - AWS</t>
  </si>
  <si>
    <t>TXN-1493</t>
  </si>
  <si>
    <t>AWS/Cloud - Deloitte</t>
  </si>
  <si>
    <t>TXN-1426</t>
  </si>
  <si>
    <t>20-10-2024</t>
  </si>
  <si>
    <t>TXN-1275</t>
  </si>
  <si>
    <t>07/15/2024</t>
  </si>
  <si>
    <t>Office Supplies - Hilton Hotels</t>
  </si>
  <si>
    <t>TXN-1306</t>
  </si>
  <si>
    <t>August 31, 2024</t>
  </si>
  <si>
    <t>TXN-1258</t>
  </si>
  <si>
    <t>July 28, 2024</t>
  </si>
  <si>
    <t>TXN-1242</t>
  </si>
  <si>
    <t>06/17/2024</t>
  </si>
  <si>
    <t>TXN-1234</t>
  </si>
  <si>
    <t>June 25, 2024</t>
  </si>
  <si>
    <t>Recruiting - Linklaters LLP</t>
  </si>
  <si>
    <t>TXN-1386</t>
  </si>
  <si>
    <t>18/09/2024</t>
  </si>
  <si>
    <t>TXN-1452</t>
  </si>
  <si>
    <t>14/11/2024</t>
  </si>
  <si>
    <t>TXN-1345</t>
  </si>
  <si>
    <t>10/09/2024</t>
  </si>
  <si>
    <t>TXN-1323</t>
  </si>
  <si>
    <t>13-08-2024</t>
  </si>
  <si>
    <t>TXN-1039</t>
  </si>
  <si>
    <t>TXN-1500</t>
  </si>
  <si>
    <t>TXN-1179</t>
  </si>
  <si>
    <t>22/05/2024</t>
  </si>
  <si>
    <t>Recruiting - Hilton Hotels</t>
  </si>
  <si>
    <t>TXN-1146</t>
  </si>
  <si>
    <t>April 15, 2024</t>
  </si>
  <si>
    <t>PR Agency - Google Cloud</t>
  </si>
  <si>
    <t>TXN-1100</t>
  </si>
  <si>
    <t>2024-03-22</t>
  </si>
  <si>
    <t>TXN-1213</t>
  </si>
  <si>
    <t>TXN-1024</t>
  </si>
  <si>
    <t>01/24/2024</t>
  </si>
  <si>
    <t>TXN-1240</t>
  </si>
  <si>
    <t>TXN-1015</t>
  </si>
  <si>
    <t>Ad Spend - Google Cloud</t>
  </si>
  <si>
    <t>TXN-1439</t>
  </si>
  <si>
    <t>27-11-2024</t>
  </si>
  <si>
    <t>Contra-Revenue</t>
  </si>
  <si>
    <t>TXN-1224</t>
  </si>
  <si>
    <t>27/06/2024</t>
  </si>
  <si>
    <t>Software License - Delta Airlines</t>
  </si>
  <si>
    <t>TXN-1446</t>
  </si>
  <si>
    <t>Professional Services - BlueSky Logistics</t>
  </si>
  <si>
    <t>TXN-1141</t>
  </si>
  <si>
    <t>April 25, 2024</t>
  </si>
  <si>
    <t>Salary - WeWork</t>
  </si>
  <si>
    <t>TXN-1104</t>
  </si>
  <si>
    <t>27-03-2024</t>
  </si>
  <si>
    <t>Ad Spend - Randstad</t>
  </si>
  <si>
    <t>TXN-1433</t>
  </si>
  <si>
    <t>15/10/2024</t>
  </si>
  <si>
    <t>TXN-1431</t>
  </si>
  <si>
    <t>16-10-2024</t>
  </si>
  <si>
    <t>Travel - Salesforce</t>
  </si>
  <si>
    <t>TXN-1243</t>
  </si>
  <si>
    <t>TXN-1217</t>
  </si>
  <si>
    <t>2024-06-10</t>
  </si>
  <si>
    <t>TXN-1344</t>
  </si>
  <si>
    <t>08/24/2024</t>
  </si>
  <si>
    <t>Office Supplies - Deloitte</t>
  </si>
  <si>
    <t>TXN-1040</t>
  </si>
  <si>
    <t>2024-02-19</t>
  </si>
  <si>
    <t>TXN-1111</t>
  </si>
  <si>
    <t>March 14, 2024</t>
  </si>
  <si>
    <t>PR Agency - Randstad</t>
  </si>
  <si>
    <t>TXN-1464</t>
  </si>
  <si>
    <t>November 26, 2024</t>
  </si>
  <si>
    <t>TXN-1480</t>
  </si>
  <si>
    <t>December 29, 2024</t>
  </si>
  <si>
    <t>Subscription - Altura Health</t>
  </si>
  <si>
    <t>TXN-1455</t>
  </si>
  <si>
    <t>November 18, 2024</t>
  </si>
  <si>
    <t>TXN-1458</t>
  </si>
  <si>
    <t>02-11-2024</t>
  </si>
  <si>
    <t>Legal - Slack</t>
  </si>
  <si>
    <t>TXN-1007</t>
  </si>
  <si>
    <t>03-01-2024</t>
  </si>
  <si>
    <t>TXN-1362</t>
  </si>
  <si>
    <t>Salary - Randstad</t>
  </si>
  <si>
    <t>TXN-1263</t>
  </si>
  <si>
    <t>2024-07-13</t>
  </si>
  <si>
    <t>TXN-1152</t>
  </si>
  <si>
    <t>TXN-1398</t>
  </si>
  <si>
    <t>2024-10-17</t>
  </si>
  <si>
    <t>TXN-1023</t>
  </si>
  <si>
    <t>01/01/2024</t>
  </si>
  <si>
    <t>Contractor - Google Cloud</t>
  </si>
  <si>
    <t>TXN-1384</t>
  </si>
  <si>
    <t>09/30/2024</t>
  </si>
  <si>
    <t>TXN-1337</t>
  </si>
  <si>
    <t>08/21/2024</t>
  </si>
  <si>
    <t>TXN-1197</t>
  </si>
  <si>
    <t>May 24, 2024</t>
  </si>
  <si>
    <t>PR Agency - Accenture</t>
  </si>
  <si>
    <t>TXN-1353</t>
  </si>
  <si>
    <t>08/09/2024</t>
  </si>
  <si>
    <t>Professional Services - Meridian Bank</t>
  </si>
  <si>
    <t>TXN-1415</t>
  </si>
  <si>
    <t>12-10-2024</t>
  </si>
  <si>
    <t>TXN-1087</t>
  </si>
  <si>
    <t>14/03/2024</t>
  </si>
  <si>
    <t>TXN-1192</t>
  </si>
  <si>
    <t>Travel - Google Cloud</t>
  </si>
  <si>
    <t>TXN-1307</t>
  </si>
  <si>
    <t>TXN-1291</t>
  </si>
  <si>
    <t>23/07/2024</t>
  </si>
  <si>
    <t>TXN-1482</t>
  </si>
  <si>
    <t>11/12/2024</t>
  </si>
  <si>
    <t>TXN-1005</t>
  </si>
  <si>
    <t>January 10, 2024</t>
  </si>
  <si>
    <t>TXN-1285</t>
  </si>
  <si>
    <t>Contractor - Zoom</t>
  </si>
  <si>
    <t>TXN-1008</t>
  </si>
  <si>
    <t>15-01-2024</t>
  </si>
  <si>
    <t>TXN-1018</t>
  </si>
  <si>
    <t>25-01-2024</t>
  </si>
  <si>
    <t>TXN-1115</t>
  </si>
  <si>
    <t>March 24, 2024</t>
  </si>
  <si>
    <t>Software License - HubSpot</t>
  </si>
  <si>
    <t>TXN-1041</t>
  </si>
  <si>
    <t>2024-02-02</t>
  </si>
  <si>
    <t>TXN-1057</t>
  </si>
  <si>
    <t>22/02/2024</t>
  </si>
  <si>
    <t>TXN-1175</t>
  </si>
  <si>
    <t>TXN-1194</t>
  </si>
  <si>
    <t>TXN-1166</t>
  </si>
  <si>
    <t>May 03, 2024</t>
  </si>
  <si>
    <t>TXN-1147</t>
  </si>
  <si>
    <t>10/04/2024</t>
  </si>
  <si>
    <t>TXN-1122</t>
  </si>
  <si>
    <t>09/04/2024</t>
  </si>
  <si>
    <t>TXN-1424</t>
  </si>
  <si>
    <t>26-10-2024</t>
  </si>
  <si>
    <t>TXN-1420</t>
  </si>
  <si>
    <t>TXN-1496</t>
  </si>
  <si>
    <t>02-12-2024</t>
  </si>
  <si>
    <t>TXN-1219</t>
  </si>
  <si>
    <t>TXN-1460</t>
  </si>
  <si>
    <t>Legal - Accenture</t>
  </si>
  <si>
    <t>TXN-1407</t>
  </si>
  <si>
    <t>Ad Spend - HubSpot</t>
  </si>
  <si>
    <t>TXN-1105</t>
  </si>
  <si>
    <t>21/03/2024</t>
  </si>
  <si>
    <t>TXN-1472</t>
  </si>
  <si>
    <t>November 19, 2024</t>
  </si>
  <si>
    <t>PR Agency - AWS</t>
  </si>
  <si>
    <t>TXN-1107</t>
  </si>
  <si>
    <t>03/27/2024</t>
  </si>
  <si>
    <t>TXN-1187</t>
  </si>
  <si>
    <t>04/05/2024</t>
  </si>
  <si>
    <t>Recruiting - Deloitte</t>
  </si>
  <si>
    <t>TXN-1414</t>
  </si>
  <si>
    <t>05-10-2024</t>
  </si>
  <si>
    <t>TXN-1098</t>
  </si>
  <si>
    <t>Software License - Salesforce</t>
  </si>
  <si>
    <t>TXN-1012</t>
  </si>
  <si>
    <t>29/01/2024</t>
  </si>
  <si>
    <t>TXN-1259</t>
  </si>
  <si>
    <t>07/28/2024</t>
  </si>
  <si>
    <t>TXN-1184</t>
  </si>
  <si>
    <t>TXN-1027</t>
  </si>
  <si>
    <t>04-01-2024</t>
  </si>
  <si>
    <t>TXN-1503</t>
  </si>
  <si>
    <t>December 16, 2024</t>
  </si>
  <si>
    <t>Legal - Zoom</t>
  </si>
  <si>
    <t>TXN-1261</t>
  </si>
  <si>
    <t>2024-07-03</t>
  </si>
  <si>
    <t>TXN-1265</t>
  </si>
  <si>
    <t>07/29/2024</t>
  </si>
  <si>
    <t>TXN-1380</t>
  </si>
  <si>
    <t>09/05/2024</t>
  </si>
  <si>
    <t>Contractor - WeWork</t>
  </si>
  <si>
    <t>TXN-1177</t>
  </si>
  <si>
    <t>TXN-1513</t>
  </si>
  <si>
    <t>2024-12-26</t>
  </si>
  <si>
    <t>TXN-1053</t>
  </si>
  <si>
    <t>TXN-1067</t>
  </si>
  <si>
    <t>February 02, 2024</t>
  </si>
  <si>
    <t>AWS/Cloud - Google Cloud</t>
  </si>
  <si>
    <t>TXN-1002</t>
  </si>
  <si>
    <t>TXN-1266</t>
  </si>
  <si>
    <t>2024-07-27</t>
  </si>
  <si>
    <t>TXN-1085</t>
  </si>
  <si>
    <t>03/03/2024</t>
  </si>
  <si>
    <t>TXN-1393</t>
  </si>
  <si>
    <t>TXN-1371</t>
  </si>
  <si>
    <t>TXN-1270</t>
  </si>
  <si>
    <t>06-07-2024</t>
  </si>
  <si>
    <t>Legal - Delta Airlines</t>
  </si>
  <si>
    <t>TXN-1171</t>
  </si>
  <si>
    <t>TXN-1359</t>
  </si>
  <si>
    <t>TXN-1372</t>
  </si>
  <si>
    <t>09/02/2024</t>
  </si>
  <si>
    <t>TXN-1022</t>
  </si>
  <si>
    <t>30/01/2024</t>
  </si>
  <si>
    <t>TXN-1226</t>
  </si>
  <si>
    <t>June 11, 2024</t>
  </si>
  <si>
    <t>PR Agency - Salesforce</t>
  </si>
  <si>
    <t>TXN-1373</t>
  </si>
  <si>
    <t>09/24/2024</t>
  </si>
  <si>
    <t>TXN-1042</t>
  </si>
  <si>
    <t>Feb-24</t>
  </si>
  <si>
    <t>TXN-1332</t>
  </si>
  <si>
    <t>18/08/2024</t>
  </si>
  <si>
    <t>Recruiting - Zoom</t>
  </si>
  <si>
    <t>TXN-1321</t>
  </si>
  <si>
    <t>TXN-1060</t>
  </si>
  <si>
    <t>February 06, 2024</t>
  </si>
  <si>
    <t>TXN-1377</t>
  </si>
  <si>
    <t>TXN-1443</t>
  </si>
  <si>
    <t>21/11/2024</t>
  </si>
  <si>
    <t>TXN-1484</t>
  </si>
  <si>
    <t>26-12-2024</t>
  </si>
  <si>
    <t>TXN-1036</t>
  </si>
  <si>
    <t>2024-01-02</t>
  </si>
  <si>
    <t>TXN-1462</t>
  </si>
  <si>
    <t>07-11-2024</t>
  </si>
  <si>
    <t>TXN-1239</t>
  </si>
  <si>
    <t>Recruiting - WeWork</t>
  </si>
  <si>
    <t>TXN-1026</t>
  </si>
  <si>
    <t>01/09/2024</t>
  </si>
  <si>
    <t>TXN-1144</t>
  </si>
  <si>
    <t>2024-04-23</t>
  </si>
  <si>
    <t>TXN-1343</t>
  </si>
  <si>
    <t>August 02, 2024</t>
  </si>
  <si>
    <t>TXN-1283</t>
  </si>
  <si>
    <t>July 20, 2024</t>
  </si>
  <si>
    <t>TXN-1156</t>
  </si>
  <si>
    <t>05/04/2024</t>
  </si>
  <si>
    <t>Software License - Omnicom Group</t>
  </si>
  <si>
    <t>TXN-1247</t>
  </si>
  <si>
    <t>TXN-1440</t>
  </si>
  <si>
    <t>15-11-2024</t>
  </si>
  <si>
    <t>TXN-1235</t>
  </si>
  <si>
    <t>06/21/2024</t>
  </si>
  <si>
    <t>TXN-1282</t>
  </si>
  <si>
    <t>26/07/2024</t>
  </si>
  <si>
    <t>TXN-1093</t>
  </si>
  <si>
    <t>03/02/2024</t>
  </si>
  <si>
    <t>TXN-1016</t>
  </si>
  <si>
    <t>2024-01-15</t>
  </si>
  <si>
    <t>TXN-1200</t>
  </si>
  <si>
    <t>30-05-2024</t>
  </si>
  <si>
    <t>TXN-1324</t>
  </si>
  <si>
    <t>17/08/2024</t>
  </si>
  <si>
    <t>Legal - Deloitte</t>
  </si>
  <si>
    <t>TXN-1350</t>
  </si>
  <si>
    <t>11/09/2024</t>
  </si>
  <si>
    <t>TXN-1405</t>
  </si>
  <si>
    <t>TXN-1150</t>
  </si>
  <si>
    <t>TXN-1473</t>
  </si>
  <si>
    <t>TXN-1193</t>
  </si>
  <si>
    <t>2024-05-05</t>
  </si>
  <si>
    <t>TXN-1268</t>
  </si>
  <si>
    <t>2024-07-02</t>
  </si>
  <si>
    <t>TXN-1114</t>
  </si>
  <si>
    <t>2024-03-09</t>
  </si>
  <si>
    <t>TXN-1450</t>
  </si>
  <si>
    <t>November 23, 2024</t>
  </si>
  <si>
    <t>TXN-1304</t>
  </si>
  <si>
    <t>TXN-1378</t>
  </si>
  <si>
    <t>2024-09-10</t>
  </si>
  <si>
    <t>TXN-1249</t>
  </si>
  <si>
    <t>June 21, 2024</t>
  </si>
  <si>
    <t>Office Supplies - Accenture</t>
  </si>
  <si>
    <t>TXN-1223</t>
  </si>
  <si>
    <t>TXN-1467</t>
  </si>
  <si>
    <t>05-11-2024</t>
  </si>
  <si>
    <t>TXN-1491</t>
  </si>
  <si>
    <t>December 01, 2024</t>
  </si>
  <si>
    <t>TXN-1309</t>
  </si>
  <si>
    <t>08-08-2024</t>
  </si>
  <si>
    <t>TXN-1154</t>
  </si>
  <si>
    <t>April 24, 2024</t>
  </si>
  <si>
    <t>TXN-1172</t>
  </si>
  <si>
    <t>05/25/2024</t>
  </si>
  <si>
    <t>TXN-1375</t>
  </si>
  <si>
    <t>29-09-2024</t>
  </si>
  <si>
    <t>Ad Spend - Salesforce</t>
  </si>
  <si>
    <t>TXN-1476</t>
  </si>
  <si>
    <t>01/12/2024</t>
  </si>
  <si>
    <t>TXN-1191</t>
  </si>
  <si>
    <t>TXN-1037</t>
  </si>
  <si>
    <t>TXN-1186</t>
  </si>
  <si>
    <t>TXN-1296</t>
  </si>
  <si>
    <t>Jul-24</t>
  </si>
  <si>
    <t>TXN-1056</t>
  </si>
  <si>
    <t>2024-02-29</t>
  </si>
  <si>
    <t>TXN-1310</t>
  </si>
  <si>
    <t>TXN-1454</t>
  </si>
  <si>
    <t>11/30/2024</t>
  </si>
  <si>
    <t>TXN-1504</t>
  </si>
  <si>
    <t>December 09, 2024</t>
  </si>
  <si>
    <t>Contractor - Omnicom Group</t>
  </si>
  <si>
    <t>TXN-1030</t>
  </si>
  <si>
    <t>Software License - AWS</t>
  </si>
  <si>
    <t>TXN-1165</t>
  </si>
  <si>
    <t>TXN-1320</t>
  </si>
  <si>
    <t>TXN-1174</t>
  </si>
  <si>
    <t>May 05, 2024</t>
  </si>
  <si>
    <t>TXN-1492</t>
  </si>
  <si>
    <t>TXN-1515</t>
  </si>
  <si>
    <t>12/17/2024</t>
  </si>
  <si>
    <t>TXN-1000</t>
  </si>
  <si>
    <t>03-12-2024</t>
  </si>
  <si>
    <t>TXN-1244</t>
  </si>
  <si>
    <t>2024-01-19</t>
  </si>
  <si>
    <t>TXN-1361</t>
  </si>
  <si>
    <t>20-06-2024</t>
  </si>
  <si>
    <t>AWS/Cloud - Salesforce</t>
  </si>
  <si>
    <t>TXN-1010</t>
  </si>
  <si>
    <t>2024-09-17</t>
  </si>
  <si>
    <t>TXN-1325</t>
  </si>
  <si>
    <t>27-01-2024</t>
  </si>
  <si>
    <t>TXN-1333</t>
  </si>
  <si>
    <t>TXN-1326</t>
  </si>
  <si>
    <t>07-08-2024</t>
  </si>
  <si>
    <t>TXN-1453</t>
  </si>
  <si>
    <t>08/08/2024</t>
  </si>
  <si>
    <t>TXN-1019</t>
  </si>
  <si>
    <t>November 14, 2024</t>
  </si>
  <si>
    <t>TXN-1251</t>
  </si>
  <si>
    <t>January 14, 2024</t>
  </si>
  <si>
    <t>Salary - Salesforce</t>
  </si>
  <si>
    <t>TXN-1442</t>
  </si>
  <si>
    <t>TXN-1158</t>
  </si>
  <si>
    <t>18/11/2024</t>
  </si>
  <si>
    <t>TXN-1277</t>
  </si>
  <si>
    <t>20-04-2024</t>
  </si>
  <si>
    <t>TXN-1252</t>
  </si>
  <si>
    <t>07-07-2024</t>
  </si>
  <si>
    <t>TXN-1096</t>
  </si>
  <si>
    <t>TXN-1311</t>
  </si>
  <si>
    <t>03/21/2024</t>
  </si>
  <si>
    <t>TXN-1072</t>
  </si>
  <si>
    <t>TXN-1288</t>
  </si>
  <si>
    <t>23/02/2024</t>
  </si>
  <si>
    <t>TXN-1290</t>
  </si>
  <si>
    <t>07/31/2024</t>
  </si>
  <si>
    <t>TXN-1180</t>
  </si>
  <si>
    <t>25-07-2024</t>
  </si>
  <si>
    <t>TXN-1014</t>
  </si>
  <si>
    <t>May 27, 2024</t>
  </si>
  <si>
    <t>TXN-1302</t>
  </si>
  <si>
    <t>TXN-1335</t>
  </si>
  <si>
    <t>TXN-1498</t>
  </si>
  <si>
    <t>23-08-2024</t>
  </si>
  <si>
    <t>TXN-1303</t>
  </si>
  <si>
    <t>December 13, 2024</t>
  </si>
  <si>
    <t>TXN-1510</t>
  </si>
  <si>
    <t>2024-08-27</t>
  </si>
  <si>
    <t>TXN-1090</t>
  </si>
  <si>
    <t>December 30, 2024</t>
  </si>
  <si>
    <t>TXN-1388</t>
  </si>
  <si>
    <t>01/03/2024</t>
  </si>
  <si>
    <t>TXN-1387</t>
  </si>
  <si>
    <t>2024-09-12</t>
  </si>
  <si>
    <t>PR Agency - Omnicom Group</t>
  </si>
  <si>
    <t>TXN-1347</t>
  </si>
  <si>
    <t>18-09-2024</t>
  </si>
  <si>
    <t>TXN-1294</t>
  </si>
  <si>
    <t>September 07, 2024</t>
  </si>
  <si>
    <t>TXN-1341</t>
  </si>
  <si>
    <t>July 18, 2024</t>
  </si>
  <si>
    <t>Office Supplies - Slack</t>
  </si>
  <si>
    <t>TXN-1028</t>
  </si>
  <si>
    <t>01/08/2024</t>
  </si>
  <si>
    <t>TXN-1273</t>
  </si>
  <si>
    <t>TXN-1516</t>
  </si>
  <si>
    <t>24-07-2024</t>
  </si>
  <si>
    <t>TXN-1123</t>
  </si>
  <si>
    <t>12/19/2024</t>
  </si>
  <si>
    <t>TXN-1126</t>
  </si>
  <si>
    <t>TXN-1051</t>
  </si>
  <si>
    <t>24-04-2024</t>
  </si>
  <si>
    <t>TXN-1081</t>
  </si>
  <si>
    <t>02/10/2024</t>
  </si>
  <si>
    <t>TXN-1495</t>
  </si>
  <si>
    <t>2024-03-06</t>
  </si>
  <si>
    <t>TXN-1488</t>
  </si>
  <si>
    <t>TXN-1355</t>
  </si>
  <si>
    <t>24-12-2024</t>
  </si>
  <si>
    <t>TXN-1271</t>
  </si>
  <si>
    <t>16/09/2024</t>
  </si>
  <si>
    <t>TXN-1241</t>
  </si>
  <si>
    <t>TXN-1029</t>
  </si>
  <si>
    <t>Recruiting - HubSpot</t>
  </si>
  <si>
    <t>TXN-1367</t>
  </si>
  <si>
    <t>2024-01-01</t>
  </si>
  <si>
    <t>TXN-1392</t>
  </si>
  <si>
    <t>TXN-1112</t>
  </si>
  <si>
    <t>October 06, 2024</t>
  </si>
  <si>
    <t>TXN-1305</t>
  </si>
  <si>
    <t>2024-03-23</t>
  </si>
  <si>
    <t>TXN-1163</t>
  </si>
  <si>
    <t>August 14, 2024</t>
  </si>
  <si>
    <t>TXN-1013</t>
  </si>
  <si>
    <t>26-05-2024</t>
  </si>
  <si>
    <t>TXN-1092</t>
  </si>
  <si>
    <t>01/29/2024</t>
  </si>
  <si>
    <t>TXN-1138</t>
  </si>
  <si>
    <t>TXN-1198</t>
  </si>
  <si>
    <t>14/04/2024</t>
  </si>
  <si>
    <t>TXN-1164</t>
  </si>
  <si>
    <t>31/05/2024</t>
  </si>
  <si>
    <t>TXN-1257</t>
  </si>
  <si>
    <t>TXN-1289</t>
  </si>
  <si>
    <t>July 31, 2024</t>
  </si>
  <si>
    <t>TXN-1176</t>
  </si>
  <si>
    <t>22/07/2024</t>
  </si>
  <si>
    <t>TXN-1248</t>
  </si>
  <si>
    <t>05/29/2024</t>
  </si>
  <si>
    <t>TXN-1502</t>
  </si>
  <si>
    <t>23/06/2024</t>
  </si>
  <si>
    <t>TXN-1395</t>
  </si>
  <si>
    <t>12/01/2024</t>
  </si>
  <si>
    <t>TXN-1477</t>
  </si>
  <si>
    <t>2024-10-14</t>
  </si>
  <si>
    <t>TXN-1391</t>
  </si>
  <si>
    <t>TXN-1009</t>
  </si>
  <si>
    <t>25/10/2024</t>
  </si>
  <si>
    <t>TXN-1278</t>
  </si>
  <si>
    <t>TXN-1417</t>
  </si>
  <si>
    <t>2024-07-28</t>
  </si>
  <si>
    <t>TXN-1434</t>
  </si>
  <si>
    <t>TXN-1269</t>
  </si>
  <si>
    <t>2024-11-19</t>
  </si>
  <si>
    <t>TXN-1329</t>
  </si>
  <si>
    <t>July 04, 2024</t>
  </si>
  <si>
    <t>TXN-1102</t>
  </si>
  <si>
    <t>2024-08-31</t>
  </si>
  <si>
    <t>TXN-1214</t>
  </si>
  <si>
    <t>TXN-1070</t>
  </si>
  <si>
    <t>June 22, 2024</t>
  </si>
  <si>
    <t>TXN-1196</t>
  </si>
  <si>
    <t>Contractor - Deloitte</t>
  </si>
  <si>
    <t>TXN-1470</t>
  </si>
  <si>
    <t>05/01/2024</t>
  </si>
  <si>
    <t>TXN-1044</t>
  </si>
  <si>
    <t>November 13, 2024</t>
  </si>
  <si>
    <t>TXN-1501</t>
  </si>
  <si>
    <t>TXN-1245</t>
  </si>
  <si>
    <t>2024-12-20</t>
  </si>
  <si>
    <t>Office Supplies - AWS</t>
  </si>
  <si>
    <t>TXN-1507</t>
  </si>
  <si>
    <t>2024-06-13</t>
  </si>
  <si>
    <t>TXN-1210</t>
  </si>
  <si>
    <t>2024-12-06</t>
  </si>
  <si>
    <t>TXN-1255</t>
  </si>
  <si>
    <t>TXN-1151</t>
  </si>
  <si>
    <t>July 24, 2024</t>
  </si>
  <si>
    <t>TXN-1331</t>
  </si>
  <si>
    <t>19/04/2024</t>
  </si>
  <si>
    <t>TXN-1125</t>
  </si>
  <si>
    <t>11-08-2024</t>
  </si>
  <si>
    <t>TXN-1315</t>
  </si>
  <si>
    <t>TXN-1317</t>
  </si>
  <si>
    <t>2024-08-24</t>
  </si>
  <si>
    <t>TXN-1314</t>
  </si>
  <si>
    <t>10/08/2024</t>
  </si>
  <si>
    <t>TXN-1017</t>
  </si>
  <si>
    <t>28-08-2024</t>
  </si>
  <si>
    <t>Office Supplies - Google Cloud</t>
  </si>
  <si>
    <t>TXN-1514</t>
  </si>
  <si>
    <t>22-01-2024</t>
  </si>
  <si>
    <t>TXN-1228</t>
  </si>
  <si>
    <t>29-12-2024</t>
  </si>
  <si>
    <t>Contractor - Randstad</t>
  </si>
  <si>
    <t>TXN-1143</t>
  </si>
  <si>
    <t>TXN-1140</t>
  </si>
  <si>
    <t>07/04/2024</t>
  </si>
  <si>
    <t>TXN-1095</t>
  </si>
  <si>
    <t>2024-04-03</t>
  </si>
  <si>
    <t>TXN-1109</t>
  </si>
  <si>
    <t>25/03/2024</t>
  </si>
  <si>
    <t>TXN-1181</t>
  </si>
  <si>
    <t>16/03/2024</t>
  </si>
  <si>
    <t>TXN-1088</t>
  </si>
  <si>
    <t>TXN-1218</t>
  </si>
  <si>
    <t>TXN-1349</t>
  </si>
  <si>
    <t>TXN-1195</t>
  </si>
  <si>
    <t>22/09/2024</t>
  </si>
  <si>
    <t>TXN-1441</t>
  </si>
  <si>
    <t>12-05-2024</t>
  </si>
  <si>
    <t>TXN-1254</t>
  </si>
  <si>
    <t>17-11-2024</t>
  </si>
  <si>
    <t>TXN-1449</t>
  </si>
  <si>
    <t>July 15, 2024</t>
  </si>
  <si>
    <t>Subscription - ClearPath Finance</t>
  </si>
  <si>
    <t>TXN-1370</t>
  </si>
  <si>
    <t>November 12, 2024</t>
  </si>
  <si>
    <t>TXN-1221</t>
  </si>
  <si>
    <t>2024-09-26</t>
  </si>
  <si>
    <t>Recruiting - Delta Airlines</t>
  </si>
  <si>
    <t>TXN-1293</t>
  </si>
  <si>
    <t>TXN-1518</t>
  </si>
  <si>
    <t>TXN-1447</t>
  </si>
  <si>
    <t>2024-12-18</t>
  </si>
  <si>
    <t>TXN-1432</t>
  </si>
  <si>
    <t>06/11/2024</t>
  </si>
  <si>
    <t>TXN-1021</t>
  </si>
  <si>
    <t>2024-10-22</t>
  </si>
  <si>
    <t>TXN-1457</t>
  </si>
  <si>
    <t>TXN-1169</t>
  </si>
  <si>
    <t>03-11-2024</t>
  </si>
  <si>
    <t>TXN-1047</t>
  </si>
  <si>
    <t>TXN-1065</t>
  </si>
  <si>
    <t>02/18/2024</t>
  </si>
  <si>
    <t>TXN-1227</t>
  </si>
  <si>
    <t>Salary - Deloitte</t>
  </si>
  <si>
    <t>TXN-1416</t>
  </si>
  <si>
    <t>2024-06-30</t>
  </si>
  <si>
    <t>TXN-1421</t>
  </si>
  <si>
    <t>10/15/2024</t>
  </si>
  <si>
    <t>Software License - Zoom</t>
  </si>
  <si>
    <t>TXN-1033</t>
  </si>
  <si>
    <t>03/10/2024</t>
  </si>
  <si>
    <t>Contractor - Salesforce</t>
  </si>
  <si>
    <t>TXN-1011</t>
  </si>
  <si>
    <t>TXN-1494</t>
  </si>
  <si>
    <t>TXN-1132</t>
  </si>
  <si>
    <t>2024-12-22</t>
  </si>
  <si>
    <t>TXN-1300</t>
  </si>
  <si>
    <t>April 04, 2024</t>
  </si>
  <si>
    <t>TXN-1298</t>
  </si>
  <si>
    <t>06-08-2024</t>
  </si>
  <si>
    <t>TXN-1043</t>
  </si>
  <si>
    <t>08/15/2024</t>
  </si>
  <si>
    <t>TXN-1330</t>
  </si>
  <si>
    <t>TXN-1322</t>
  </si>
  <si>
    <t>TXN-1465</t>
  </si>
  <si>
    <t>08/05/2024</t>
  </si>
  <si>
    <t>TXN-1190</t>
  </si>
  <si>
    <t>11/14/2024</t>
  </si>
  <si>
    <t>TXN-1205</t>
  </si>
  <si>
    <t>TXN-1101</t>
  </si>
  <si>
    <t>05/11/2024</t>
  </si>
  <si>
    <t>TXN-1066</t>
  </si>
  <si>
    <t>March 19, 2024</t>
  </si>
  <si>
    <t>TXN-1113</t>
  </si>
  <si>
    <t>Recruiting - Slack</t>
  </si>
  <si>
    <t>TXN-1490</t>
  </si>
  <si>
    <t>10-03-2024</t>
  </si>
  <si>
    <t>Travel - HubSpot</t>
  </si>
  <si>
    <t>TXN-1031</t>
  </si>
  <si>
    <t>December 03, 2024</t>
  </si>
  <si>
    <t>TXN-1006</t>
  </si>
  <si>
    <t>2024-01-26</t>
  </si>
  <si>
    <t>Software License - WeWork</t>
  </si>
  <si>
    <t>TXN-1062</t>
  </si>
  <si>
    <t>TXN-1071</t>
  </si>
  <si>
    <t>07-02-2024</t>
  </si>
  <si>
    <t>TXN-1406</t>
  </si>
  <si>
    <t>10/02/2024</t>
  </si>
  <si>
    <t>TXN-1411</t>
  </si>
  <si>
    <t>19-10-2024</t>
  </si>
  <si>
    <t>TXN-1052</t>
  </si>
  <si>
    <t>2024-10-31</t>
  </si>
  <si>
    <t>TXN-1236</t>
  </si>
  <si>
    <t>TXN-1048</t>
  </si>
  <si>
    <t>June 15, 2024</t>
  </si>
  <si>
    <t>TXN-1451</t>
  </si>
  <si>
    <t>12-02-2024</t>
  </si>
  <si>
    <t>TXN-1281</t>
  </si>
  <si>
    <t>TXN-1383</t>
  </si>
  <si>
    <t>23-07-2024</t>
  </si>
  <si>
    <t>TXN-1284</t>
  </si>
  <si>
    <t>09/28/2024</t>
  </si>
  <si>
    <t>Salary - Zoom</t>
  </si>
  <si>
    <t>TXN-1505</t>
  </si>
  <si>
    <t>TXN-1437</t>
  </si>
  <si>
    <t>19/12/2024</t>
  </si>
  <si>
    <t>TXN-1207</t>
  </si>
  <si>
    <t>15/11/2024</t>
  </si>
  <si>
    <t>TXN-1089</t>
  </si>
  <si>
    <t>05/03/2024</t>
  </si>
  <si>
    <t>TXN-1419</t>
  </si>
  <si>
    <t>TXN-1508</t>
  </si>
  <si>
    <t>31/03/2024</t>
  </si>
  <si>
    <t>TXN-1153</t>
  </si>
  <si>
    <t>10/06/2024</t>
  </si>
  <si>
    <t>TXN-1346</t>
  </si>
  <si>
    <t>TXN-1025</t>
  </si>
  <si>
    <t>TXN-1262</t>
  </si>
  <si>
    <t>21-09-2024</t>
  </si>
  <si>
    <t>TXN-1202</t>
  </si>
  <si>
    <t>01/05/2024</t>
  </si>
  <si>
    <t>TXN-1182</t>
  </si>
  <si>
    <t>07/14/2024</t>
  </si>
  <si>
    <t>TXN-1127</t>
  </si>
  <si>
    <t>TXN-1364</t>
  </si>
  <si>
    <t>May 11, 2024</t>
  </si>
  <si>
    <t>TXN-1468</t>
  </si>
  <si>
    <t>04/22/2024</t>
  </si>
  <si>
    <t>TXN-1075</t>
  </si>
  <si>
    <t>14-09-2024</t>
  </si>
  <si>
    <t>TXN-1499</t>
  </si>
  <si>
    <t>11/28/2024</t>
  </si>
  <si>
    <t>TXN-1438</t>
  </si>
  <si>
    <t>26-02-2024</t>
  </si>
  <si>
    <t>Software License - Accenture</t>
  </si>
  <si>
    <t>TXN-1427</t>
  </si>
  <si>
    <t>12/14/2024</t>
  </si>
  <si>
    <t>TXN-1110</t>
  </si>
  <si>
    <t>2024-11-04</t>
  </si>
  <si>
    <t>TXN-1020</t>
  </si>
  <si>
    <t>TXN-1308</t>
  </si>
  <si>
    <t>March 17, 2024</t>
  </si>
  <si>
    <t>TXN-1356</t>
  </si>
  <si>
    <t>TXN-1360</t>
  </si>
  <si>
    <t>refund?</t>
  </si>
  <si>
    <t>TXN-1423</t>
  </si>
  <si>
    <t>TXN-1155</t>
  </si>
  <si>
    <t>09/15/2024</t>
  </si>
  <si>
    <t>TXN-1351</t>
  </si>
  <si>
    <t>TXN-1413</t>
  </si>
  <si>
    <t>2024-04-26</t>
  </si>
  <si>
    <t>TXN-1080</t>
  </si>
  <si>
    <t>08-09-2024</t>
  </si>
  <si>
    <t>TXN-1046</t>
  </si>
  <si>
    <t>TXN-1479</t>
  </si>
  <si>
    <t>03/23/2024</t>
  </si>
  <si>
    <t>TXN-1436</t>
  </si>
  <si>
    <t>2024-02-01</t>
  </si>
  <si>
    <t>TXN-1135</t>
  </si>
  <si>
    <t>December 12, 2024</t>
  </si>
  <si>
    <t>TXN-1237</t>
  </si>
  <si>
    <t>24/11/2024</t>
  </si>
  <si>
    <t>TXN-1157</t>
  </si>
  <si>
    <t>April 09, 2024</t>
  </si>
  <si>
    <t>TXN-1497</t>
  </si>
  <si>
    <t>June 12, 2024</t>
  </si>
  <si>
    <t>see notes</t>
  </si>
  <si>
    <t>TXN-1106</t>
  </si>
  <si>
    <t>TXN-1489</t>
  </si>
  <si>
    <t>December 21, 2024</t>
  </si>
  <si>
    <t>TXN-1183</t>
  </si>
  <si>
    <t>AWS/Cloud - Hilton Hotels</t>
  </si>
  <si>
    <t>TXN-1274</t>
  </si>
  <si>
    <t>December 26, 2024</t>
  </si>
  <si>
    <t>TXN-1061</t>
  </si>
  <si>
    <t>2024-05-27</t>
  </si>
  <si>
    <t>TXN-1208</t>
  </si>
  <si>
    <t>July 12, 2024</t>
  </si>
  <si>
    <t>TXN-1160</t>
  </si>
  <si>
    <t>02/28/2024</t>
  </si>
  <si>
    <t>Contractor - Hilton Hotels</t>
  </si>
  <si>
    <t>TXN-1238</t>
  </si>
  <si>
    <t>28-06-2024</t>
  </si>
  <si>
    <t>TXN-1230</t>
  </si>
  <si>
    <t>2024-04-21</t>
  </si>
  <si>
    <t>TXN-1084</t>
  </si>
  <si>
    <t>TXN-1054</t>
  </si>
  <si>
    <t>TXN-1079</t>
  </si>
  <si>
    <t>TXN-1055</t>
  </si>
  <si>
    <t>TXN-1299</t>
  </si>
  <si>
    <t>March 16, 2024</t>
  </si>
  <si>
    <t>TXN-1394</t>
  </si>
  <si>
    <t>2024-02-14</t>
  </si>
  <si>
    <t>TXN-1399</t>
  </si>
  <si>
    <t>14-08-2024</t>
  </si>
  <si>
    <t>TXN-1069</t>
  </si>
  <si>
    <t>2024-10-02</t>
  </si>
  <si>
    <t>TXN-1103</t>
  </si>
  <si>
    <t>TXN-1483</t>
  </si>
  <si>
    <t>03-02-2024</t>
  </si>
  <si>
    <t>TXN-1038</t>
  </si>
  <si>
    <t>17/03/2024</t>
  </si>
  <si>
    <t>TXN-1119</t>
  </si>
  <si>
    <t>TXN-1139</t>
  </si>
  <si>
    <t>2024-01-16</t>
  </si>
  <si>
    <t>TXN-1231</t>
  </si>
  <si>
    <t>TXN-1162</t>
  </si>
  <si>
    <t>27/04/2024</t>
  </si>
  <si>
    <t>TXN-1167</t>
  </si>
  <si>
    <t>TXN-1376</t>
  </si>
  <si>
    <t>23-05-2024</t>
  </si>
  <si>
    <t>TXN-1425</t>
  </si>
  <si>
    <t>TXN-1358</t>
  </si>
  <si>
    <t>TXN-1201</t>
  </si>
  <si>
    <t>14-10-2024</t>
  </si>
  <si>
    <t>TXN-1410</t>
  </si>
  <si>
    <t>2024-09-23</t>
  </si>
  <si>
    <t>TXN-1474</t>
  </si>
  <si>
    <t>20-05-2024</t>
  </si>
  <si>
    <t>Office Supplies - Salesforce</t>
  </si>
  <si>
    <t>TXN-1161</t>
  </si>
  <si>
    <t>TXN-1435</t>
  </si>
  <si>
    <t>13/11/2024</t>
  </si>
  <si>
    <t>TXN-1511</t>
  </si>
  <si>
    <t>04/20/2024</t>
  </si>
  <si>
    <t>TXN-1149</t>
  </si>
  <si>
    <t>TXN-1121</t>
  </si>
  <si>
    <t>Travel - Delta Airlines</t>
  </si>
  <si>
    <t>TXN-1133</t>
  </si>
  <si>
    <t>April 13, 2024</t>
  </si>
  <si>
    <t>TXN-1445</t>
  </si>
  <si>
    <t>2024-04-16</t>
  </si>
  <si>
    <t>TXN-1063</t>
  </si>
  <si>
    <t>13/04/2024</t>
  </si>
  <si>
    <t>TXN-1076</t>
  </si>
  <si>
    <t>November 01, 2024</t>
  </si>
  <si>
    <t>TXN-1403</t>
  </si>
  <si>
    <t>2024-02-27</t>
  </si>
  <si>
    <t>TXN-1136</t>
  </si>
  <si>
    <t>2024-02-17</t>
  </si>
  <si>
    <t>TXN-1097</t>
  </si>
  <si>
    <t>TXN-1086</t>
  </si>
  <si>
    <t>TXN-1469</t>
  </si>
  <si>
    <t>TXN-1381</t>
  </si>
  <si>
    <t>TXN-1422</t>
  </si>
  <si>
    <t>November 05, 2024</t>
  </si>
  <si>
    <t>11-09-2024</t>
  </si>
  <si>
    <t>10-10-2024</t>
  </si>
  <si>
    <t>SUM of Amount_Clean_USD</t>
  </si>
  <si>
    <t>Grand Total</t>
  </si>
  <si>
    <t>NEXORA SOFTWARE — FY2024 FINANCIAL ANALYSIS</t>
  </si>
  <si>
    <t>Analyst: Temmygabriel | Source: Cleaned Data sheet | All amounts in USD</t>
  </si>
  <si>
    <t>REVENUE SUMMARY</t>
  </si>
  <si>
    <t>Total Actual ($)</t>
  </si>
  <si>
    <t>Core ARR — 83% of total revenue</t>
  </si>
  <si>
    <t>Outperformed budget every month — investigate for FY2025</t>
  </si>
  <si>
    <t>One-off deals — lumpy by nature</t>
  </si>
  <si>
    <t>Client refunds — minimal impact</t>
  </si>
  <si>
    <t>TOTAL REVENUE</t>
  </si>
  <si>
    <t>Full year top line</t>
  </si>
  <si>
    <t>EXPENSE SUMMARY</t>
  </si>
  <si>
    <t>Largest cost centre — 28% of total opex. Q3 spend spike warrants investigation</t>
  </si>
  <si>
    <t>Product development — expected for a SaaS business</t>
  </si>
  <si>
    <t>Costs crept up every month in H2 — trend more concerning than annual total</t>
  </si>
  <si>
    <t>Sales team overhead — reasonable relative to revenue generated</t>
  </si>
  <si>
    <t>Lean team supporting $13M revenue — efficient</t>
  </si>
  <si>
    <t>Lowest cost centre — well controlled</t>
  </si>
  <si>
    <t>TOTAL OPEX</t>
  </si>
  <si>
    <t>Full year operating expenses</t>
  </si>
  <si>
    <t>NET POSITION</t>
  </si>
  <si>
    <t>Total Revenue</t>
  </si>
  <si>
    <t>Total OPEX</t>
  </si>
  <si>
    <t>NET INCOME</t>
  </si>
  <si>
    <t>QUARTERLY BREAKDOWN — REVENUE vs EXPENSE</t>
  </si>
  <si>
    <t>Total Revenue ($)</t>
  </si>
  <si>
    <t>Total Expense ($)</t>
  </si>
  <si>
    <t>Net ($)</t>
  </si>
  <si>
    <t>Solid start — revenue and expenses both stable</t>
  </si>
  <si>
    <t>Net dipped — expenses grew faster than revenue. Q2 pressure point.</t>
  </si>
  <si>
    <t>Net recovered but Marketing spend peaked this quarter — efficiency question</t>
  </si>
  <si>
    <t>Strongest quarter — Q4 recovery real but came late in the year</t>
  </si>
  <si>
    <t>FULL YEAR</t>
  </si>
  <si>
    <t>Full year net position</t>
  </si>
  <si>
    <t>MARKETING EFFICIENCY ANALYSIS — Q3 DEEP DIVE</t>
  </si>
  <si>
    <t>Marketing Spend ($)</t>
  </si>
  <si>
    <t>Highest spend quarter — heavy H1 investment</t>
  </si>
  <si>
    <t>Spend eased slightly</t>
  </si>
  <si>
    <t>Marginal increase over Q2 — spend remained elevated</t>
  </si>
  <si>
    <t>Sharp pullback — but Q4 revenue was strongest. Efficiency question</t>
  </si>
  <si>
    <t>H1 Marketing Spend</t>
  </si>
  <si>
    <t>H2 Marketing Spend</t>
  </si>
  <si>
    <t>H1 vs H2 Difference</t>
  </si>
  <si>
    <t>Transaction_ID</t>
  </si>
  <si>
    <t>Date_Raw</t>
  </si>
  <si>
    <t>Department_Raw</t>
  </si>
  <si>
    <t>Dept_Clean</t>
  </si>
  <si>
    <t>Amount_USD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</si>
</sst>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&quot;$&quot;#,##0"/>
  </numFmts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color theme="1"/>
      <name val="Arial"/>
      <scheme val="minor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F7F9FC"/>
        <bgColor rgb="FFF7F9FC"/>
      </patternFill>
    </fill>
  </fills>
  <borders count="3">
    <border/>
    <border>
      <left/>
      <right/>
      <top/>
      <bottom style="medium">
        <color rgb="FF2E86AB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2" fillId="3" fontId="3" numFmtId="0" xfId="0" applyAlignment="1" applyBorder="1" applyFill="1" applyFont="1">
      <alignment shrinkToFit="0" vertical="center" wrapText="0"/>
    </xf>
    <xf borderId="0" fillId="0" fontId="2" numFmtId="164" xfId="0" applyFont="1" applyNumberFormat="1"/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3" fontId="3" numFmtId="0" xfId="0" applyAlignment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0" fillId="0" fontId="2" numFmtId="165" xfId="0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523" sheet="Cleaned_sheet"/>
  </cacheSource>
  <cacheFields>
    <cacheField name="Transaction ID" numFmtId="0">
      <sharedItems containsBlank="1">
        <s v="TXN-1003"/>
        <s v="TXN-1519"/>
        <s v="TXN-1083"/>
        <s v="TXN-1428"/>
        <s v="TXN-1276"/>
        <s v="TXN-1129"/>
        <s v="TXN-1348"/>
        <s v="TXN-1295"/>
        <s v="TXN-1170"/>
        <s v="TXN-1379"/>
        <s v="TXN-1131"/>
        <s v="TXN-1117"/>
        <s v="TXN-1328"/>
        <s v="TXN-1225"/>
        <s v="TXN-1369"/>
        <s v="TXN-1272"/>
        <s v="TXN-1058"/>
        <s v="TXN-1001"/>
        <s v="TXN-1256"/>
        <s v="TXN-1253"/>
        <s v="TXN-1471"/>
        <s v="TXN-1385"/>
        <s v="TXN-1389"/>
        <s v="TXN-1402"/>
        <s v="TXN-1279"/>
        <s v="TXN-1199"/>
        <s v="TXN-1206"/>
        <s v="TXN-1045"/>
        <s v="TXN-1517"/>
        <s v="TXN-1108"/>
        <s v="TXN-1334"/>
        <s v="TXN-1032"/>
        <s v="TXN-1232"/>
        <s v="TXN-1159"/>
        <s v="TXN-1118"/>
        <s v="TXN-1211"/>
        <s v="TXN-1352"/>
        <s v="TXN-1374"/>
        <s v="TXN-1229"/>
        <s v="TXN-1212"/>
        <s v="TXN-1280"/>
        <s v="TXN-1148"/>
        <s v="TXN-1145"/>
        <s v="TXN-1094"/>
        <s v="TXN-1168"/>
        <s v="TXN-1220"/>
        <s v="TXN-1222"/>
        <s v="TXN-1091"/>
        <s v="TXN-1478"/>
        <s v="TXN-1035"/>
        <s v="TXN-1246"/>
        <s v="TXN-1318"/>
        <s v="TXN-1486"/>
        <s v="TXN-1448"/>
        <s v="TXN-1301"/>
        <s v="TXN-1134"/>
        <s v="TXN-1354"/>
        <s v="TXN-1128"/>
        <s v="TXN-1292"/>
        <s v="TXN-1357"/>
        <s v="TXN-1456"/>
        <s v="TXN-1506"/>
        <s v="TXN-1130"/>
        <s v="TXN-1487"/>
        <s v="TXN-1188"/>
        <s v="TXN-1485"/>
        <s v="TXN-1264"/>
        <s v="TXN-1390"/>
        <s v="TXN-1203"/>
        <s v="TXN-1216"/>
        <s v="TXN-1401"/>
        <s v="TXN-1339"/>
        <s v="TXN-1116"/>
        <s v="TXN-1340"/>
        <s v="TXN-1185"/>
        <s v="TXN-1077"/>
        <s v="TXN-1260"/>
        <s v="TXN-1099"/>
        <s v="TXN-1064"/>
        <s v="TXN-1004"/>
        <s v="TXN-1050"/>
        <s v="TXN-1418"/>
        <s v="TXN-1430"/>
        <s v="TXN-1396"/>
        <s v="TXN-1287"/>
        <s v="TXN-1073"/>
        <s v="TXN-1397"/>
        <s v="TXN-1215"/>
        <s v="TXN-1068"/>
        <s v="TXN-1336"/>
        <s v="TXN-1233"/>
        <s v="TXN-1312"/>
        <s v="TXN-1475"/>
        <s v="TXN-1365"/>
        <s v="TXN-1412"/>
        <s v="TXN-1142"/>
        <s v="TXN-1137"/>
        <s v="TXN-1124"/>
        <s v="TXN-1368"/>
        <s v="TXN-1363"/>
        <s v="TXN-1297"/>
        <s v="TXN-1512"/>
        <s v="TXN-1429"/>
        <s v="TXN-1204"/>
        <s v="TXN-1267"/>
        <s v="TXN-1313"/>
        <s v="TXN-1173"/>
        <s v="TXN-1366"/>
        <s v="TXN-1034"/>
        <s v="TXN-1209"/>
        <s v="TXN-1466"/>
        <s v="TXN-1382"/>
        <s v="TXN-1059"/>
        <s v="TXN-1250"/>
        <s v="TXN-1409"/>
        <s v="TXN-1189"/>
        <s v="TXN-1461"/>
        <s v="TXN-1481"/>
        <s v="TXN-1444"/>
        <s v="TXN-1400"/>
        <s v="TXN-1463"/>
        <s v="TXN-1404"/>
        <s v="TXN-1178"/>
        <s v="TXN-1049"/>
        <s v="TXN-1327"/>
        <s v="TXN-1082"/>
        <s v="TXN-1286"/>
        <s v="TXN-1342"/>
        <s v="TXN-1509"/>
        <s v="TXN-1120"/>
        <s v="TXN-1408"/>
        <s v="TXN-1078"/>
        <s v="TXN-1338"/>
        <s v="TXN-1319"/>
        <s v="TXN-1459"/>
        <s v="TXN-1074"/>
        <s v="TXN-1316"/>
        <s v="TXN-1493"/>
        <s v="TXN-1426"/>
        <s v="TXN-1275"/>
        <s v="TXN-1306"/>
        <s v="TXN-1258"/>
        <s v="TXN-1242"/>
        <s v="TXN-1234"/>
        <s v="TXN-1386"/>
        <s v="TXN-1452"/>
        <s v="TXN-1345"/>
        <s v="TXN-1323"/>
        <s v="TXN-1039"/>
        <s v="TXN-1500"/>
        <s v="TXN-1179"/>
        <s v="TXN-1146"/>
        <s v="TXN-1100"/>
        <s v="TXN-1213"/>
        <s v="TXN-1024"/>
        <s v="TXN-1240"/>
        <s v="TXN-1015"/>
        <s v="TXN-1439"/>
        <s v="TXN-1224"/>
        <s v="TXN-1446"/>
        <s v="TXN-1141"/>
        <s v="TXN-1104"/>
        <s v="TXN-1433"/>
        <s v="TXN-1431"/>
        <s v="TXN-1243"/>
        <s v="TXN-1217"/>
        <s v="TXN-1344"/>
        <s v="TXN-1040"/>
        <s v="TXN-1111"/>
        <s v="TXN-1464"/>
        <s v="TXN-1480"/>
        <s v="TXN-1455"/>
        <s v="TXN-1458"/>
        <s v="TXN-1007"/>
        <s v="TXN-1362"/>
        <s v="TXN-1263"/>
        <s v="TXN-1152"/>
        <s v="TXN-1398"/>
        <s v="TXN-1023"/>
        <s v="TXN-1384"/>
        <s v="TXN-1337"/>
        <s v="TXN-1197"/>
        <s v="TXN-1353"/>
        <s v="TXN-1415"/>
        <s v="TXN-1087"/>
        <s v="TXN-1192"/>
        <s v="TXN-1307"/>
        <s v="TXN-1291"/>
        <s v="TXN-1482"/>
        <s v="TXN-1005"/>
        <s v="TXN-1285"/>
        <s v="TXN-1008"/>
        <s v="TXN-1018"/>
        <s v="TXN-1115"/>
        <s v="TXN-1041"/>
        <s v="TXN-1057"/>
        <s v="TXN-1175"/>
        <s v="TXN-1194"/>
        <s v="TXN-1166"/>
        <s v="TXN-1147"/>
        <s v="TXN-1122"/>
        <s v="TXN-1424"/>
        <s v="TXN-1420"/>
        <s v="TXN-1496"/>
        <s v="TXN-1219"/>
        <s v="TXN-1460"/>
        <s v="TXN-1407"/>
        <s v="TXN-1105"/>
        <s v="TXN-1472"/>
        <s v="TXN-1107"/>
        <s v="TXN-1187"/>
        <s v="TXN-1414"/>
        <s v="TXN-1098"/>
        <s v="TXN-1012"/>
        <s v="TXN-1259"/>
        <s v="TXN-1184"/>
        <s v="TXN-1027"/>
        <s v="TXN-1503"/>
        <s v="TXN-1261"/>
        <s v="TXN-1265"/>
        <s v="TXN-1380"/>
        <s v="TXN-1177"/>
        <s v="TXN-1513"/>
        <s v="TXN-1053"/>
        <s v="TXN-1067"/>
        <s v="TXN-1002"/>
        <s v="TXN-1266"/>
        <s v="TXN-1085"/>
        <s v="TXN-1393"/>
        <s v="TXN-1371"/>
        <s v="TXN-1270"/>
        <s v="TXN-1171"/>
        <s v="TXN-1359"/>
        <s v="TXN-1372"/>
        <s v="TXN-1022"/>
        <s v="TXN-1226"/>
        <s v="TXN-1373"/>
        <s v="TXN-1042"/>
        <s v="TXN-1332"/>
        <s v="TXN-1321"/>
        <s v="TXN-1060"/>
        <s v="TXN-1377"/>
        <s v="TXN-1443"/>
        <s v="TXN-1484"/>
        <s v="TXN-1036"/>
        <s v="TXN-1462"/>
        <s v="TXN-1239"/>
        <s v="TXN-1026"/>
        <s v="TXN-1144"/>
        <s v="TXN-1343"/>
        <s v="TXN-1283"/>
        <s v="TXN-1156"/>
        <s v="TXN-1247"/>
        <s v="TXN-1440"/>
        <s v="TXN-1235"/>
        <s v="TXN-1282"/>
        <s v="TXN-1093"/>
        <s v="TXN-1016"/>
        <s v="TXN-1200"/>
        <s v="TXN-1324"/>
        <s v="TXN-1350"/>
        <s v="TXN-1405"/>
        <s v="TXN-1150"/>
        <s v="TXN-1473"/>
        <s v="TXN-1193"/>
        <s v="TXN-1268"/>
        <s v="TXN-1114"/>
        <s v="TXN-1450"/>
        <s v="TXN-1304"/>
        <s v="TXN-1378"/>
        <s v="TXN-1249"/>
        <s v="TXN-1223"/>
        <s v="TXN-1467"/>
        <s v="TXN-1491"/>
        <s v="TXN-1309"/>
        <s v="TXN-1154"/>
        <s v="TXN-1172"/>
        <s v="TXN-1375"/>
        <s v="TXN-1476"/>
        <s v="TXN-1191"/>
        <s v="TXN-1037"/>
        <s v="TXN-1186"/>
        <s v="TXN-1296"/>
        <s v="TXN-1056"/>
        <s v="TXN-1310"/>
        <s v="TXN-1454"/>
        <s v="TXN-1504"/>
        <s v="TXN-1030"/>
        <s v="TXN-1165"/>
        <s v="TXN-1320"/>
        <s v="TXN-1174"/>
        <s v="TXN-1492"/>
        <s v="TXN-1515"/>
        <s v="TXN-1000"/>
        <s v="TXN-1244"/>
        <s v="TXN-1361"/>
        <s v="TXN-1010"/>
        <s v="TXN-1325"/>
        <s v="TXN-1333"/>
        <s v="TXN-1326"/>
        <s v="TXN-1453"/>
        <s v="TXN-1019"/>
        <s v="TXN-1251"/>
        <s v="TXN-1442"/>
        <s v="TXN-1158"/>
        <s v="TXN-1277"/>
        <s v="TXN-1252"/>
        <s v="TXN-1096"/>
        <s v="TXN-1311"/>
        <s v="TXN-1072"/>
        <s v="TXN-1288"/>
        <s v="TXN-1290"/>
        <s v="TXN-1180"/>
        <s v="TXN-1014"/>
        <s v="TXN-1302"/>
        <s v="TXN-1335"/>
        <s v="TXN-1498"/>
        <s v="TXN-1303"/>
        <s v="TXN-1510"/>
        <s v="TXN-1090"/>
        <s v="TXN-1388"/>
        <s v="TXN-1387"/>
        <s v="TXN-1347"/>
        <s v="TXN-1294"/>
        <s v="TXN-1341"/>
        <s v="TXN-1028"/>
        <s v="TXN-1273"/>
        <s v="TXN-1516"/>
        <s v="TXN-1123"/>
        <s v="TXN-1126"/>
        <s v="TXN-1051"/>
        <s v="TXN-1081"/>
        <s v="TXN-1495"/>
        <s v="TXN-1488"/>
        <s v="TXN-1355"/>
        <s v="TXN-1271"/>
        <s v="TXN-1241"/>
        <s v="TXN-1029"/>
        <s v="TXN-1367"/>
        <s v="TXN-1392"/>
        <s v="TXN-1112"/>
        <s v="TXN-1305"/>
        <s v="TXN-1163"/>
        <s v="TXN-1013"/>
        <s v="TXN-1092"/>
        <s v="TXN-1138"/>
        <s v="TXN-1198"/>
        <s v="TXN-1164"/>
        <s v="TXN-1257"/>
        <s v="TXN-1289"/>
        <s v="TXN-1176"/>
        <s v="TXN-1248"/>
        <s v="TXN-1502"/>
        <s v="TXN-1395"/>
        <s v="TXN-1477"/>
        <s v="TXN-1391"/>
        <s v="TXN-1009"/>
        <s v="TXN-1278"/>
        <s v="TXN-1417"/>
        <s v="TXN-1434"/>
        <s v="TXN-1269"/>
        <s v="TXN-1329"/>
        <s v="TXN-1102"/>
        <s v="TXN-1214"/>
        <s v="TXN-1070"/>
        <s v="TXN-1196"/>
        <s v="TXN-1470"/>
        <s v="TXN-1044"/>
        <s v="TXN-1501"/>
        <s v="TXN-1245"/>
        <s v="TXN-1507"/>
        <s v="TXN-1210"/>
        <s v="TXN-1255"/>
        <s v="TXN-1151"/>
        <s v="TXN-1331"/>
        <s v="TXN-1125"/>
        <s v="TXN-1315"/>
        <s v="TXN-1317"/>
        <s v="TXN-1314"/>
        <s v="TXN-1017"/>
        <s v="TXN-1514"/>
        <s v="TXN-1228"/>
        <s v="TXN-1143"/>
        <s v="TXN-1140"/>
        <s v="TXN-1095"/>
        <s v="TXN-1109"/>
        <s v="TXN-1181"/>
        <s v="TXN-1088"/>
        <s v="TXN-1218"/>
        <s v="TXN-1349"/>
        <s v="TXN-1195"/>
        <s v="TXN-1441"/>
        <s v="TXN-1254"/>
        <s v="TXN-1449"/>
        <s v="TXN-1370"/>
        <s v="TXN-1221"/>
        <s v="TXN-1293"/>
        <s v="TXN-1518"/>
        <s v="TXN-1447"/>
        <s v="TXN-1432"/>
        <s v="TXN-1021"/>
        <s v="TXN-1457"/>
        <s v="TXN-1169"/>
        <s v="TXN-1047"/>
        <s v="TXN-1065"/>
        <s v="TXN-1227"/>
        <s v="TXN-1416"/>
        <s v="TXN-1421"/>
        <s v="TXN-1033"/>
        <s v="TXN-1011"/>
        <s v="TXN-1494"/>
        <s v="TXN-1132"/>
        <s v="TXN-1300"/>
        <s v="TXN-1298"/>
        <s v="TXN-1043"/>
        <s v="TXN-1330"/>
        <s v="TXN-1322"/>
        <s v="TXN-1465"/>
        <s v="TXN-1190"/>
        <s v="TXN-1205"/>
        <s v="TXN-1101"/>
        <s v="TXN-1066"/>
        <s v="TXN-1113"/>
        <s v="TXN-1490"/>
        <s v="TXN-1031"/>
        <s v="TXN-1006"/>
        <s v="TXN-1062"/>
        <s v="TXN-1071"/>
        <s v="TXN-1406"/>
        <s v="TXN-1411"/>
        <s v="TXN-1052"/>
        <s v="TXN-1236"/>
        <s v="TXN-1048"/>
        <s v="TXN-1451"/>
        <s v="TXN-1281"/>
        <s v="TXN-1383"/>
        <s v="TXN-1284"/>
        <s v="TXN-1505"/>
        <s v="TXN-1437"/>
        <s v="TXN-1207"/>
        <s v="TXN-1089"/>
        <s v="TXN-1419"/>
        <s v="TXN-1508"/>
        <s v="TXN-1153"/>
        <s v="TXN-1346"/>
        <s v="TXN-1025"/>
        <s v="TXN-1262"/>
        <s v="TXN-1202"/>
        <s v="TXN-1182"/>
        <s v="TXN-1127"/>
        <s v="TXN-1364"/>
        <s v="TXN-1468"/>
        <s v="TXN-1075"/>
        <s v="TXN-1499"/>
        <s v="TXN-1438"/>
        <s v="TXN-1427"/>
        <s v="TXN-1110"/>
        <s v="TXN-1020"/>
        <s v="TXN-1308"/>
        <s v="TXN-1356"/>
        <s v="TXN-1360"/>
        <s v="TXN-1423"/>
        <s v="TXN-1155"/>
        <s v="TXN-1351"/>
        <s v="TXN-1413"/>
        <s v="TXN-1080"/>
        <s v="TXN-1046"/>
        <s v="TXN-1479"/>
        <s v="TXN-1436"/>
        <s v="TXN-1135"/>
        <s v="TXN-1237"/>
        <s v="TXN-1157"/>
        <s v="TXN-1497"/>
        <s v="TXN-1106"/>
        <s v="TXN-1489"/>
        <s v="TXN-1183"/>
        <s v="TXN-1274"/>
        <s v="TXN-1061"/>
        <s v="TXN-1208"/>
        <s v="TXN-1160"/>
        <s v="TXN-1238"/>
        <s v="TXN-1230"/>
        <s v="TXN-1084"/>
        <s v="TXN-1054"/>
        <s v="TXN-1079"/>
        <s v="TXN-1055"/>
        <s v="TXN-1299"/>
        <s v="TXN-1394"/>
        <s v="TXN-1399"/>
        <s v="TXN-1069"/>
        <s v="TXN-1103"/>
        <s v="TXN-1483"/>
        <s v="TXN-1038"/>
        <s v="TXN-1119"/>
        <s v="TXN-1139"/>
        <s v="TXN-1231"/>
        <s v="TXN-1162"/>
        <s v="TXN-1167"/>
        <s v="TXN-1376"/>
        <s v="TXN-1425"/>
        <s v="TXN-1358"/>
        <s v="TXN-1201"/>
        <s v="TXN-1410"/>
        <s v="TXN-1474"/>
        <s v="TXN-1161"/>
        <s v="TXN-1435"/>
        <s v="TXN-1511"/>
        <s v="TXN-1149"/>
        <s v="TXN-1121"/>
        <s v="TXN-1133"/>
        <s v="TXN-1445"/>
        <s v="TXN-1063"/>
        <s v="TXN-1076"/>
        <s v="TXN-1403"/>
        <s v="TXN-1136"/>
        <s v="TXN-1097"/>
        <s v="TXN-1086"/>
        <s v="TXN-1469"/>
        <s v="TXN-1381"/>
        <s v="TXN-1422"/>
        <m/>
      </sharedItems>
    </cacheField>
    <cacheField name="Date" numFmtId="0">
      <sharedItems>
        <s v="09-01-2024"/>
        <s v="2024-12-25"/>
        <s v="03/20/2024"/>
        <s v="October 22, 2024"/>
        <s v="03-07-2024"/>
        <s v="April 14, 2024"/>
        <s v="2024-09-15"/>
        <s v="07/21/2024"/>
        <s v="10-05-2024"/>
        <s v="Sep-24"/>
        <s v="06/04/2024"/>
        <s v="Mar-24"/>
        <s v="Aug-24"/>
        <s v="2024-06-28"/>
        <s v="2024-09-05"/>
        <s v="02-07-2024"/>
        <s v="02/20/2024"/>
        <s v="Jan-24"/>
        <s v="26-07-2024"/>
        <s v="July 06, 2024"/>
        <s v="23-11-2024"/>
        <s v="09/23/2024"/>
        <s v="10/10/2024"/>
        <s v="October 13, 2024"/>
        <s v="July 26, 2024"/>
        <s v="May 14, 2024"/>
        <s v="2024-05-22"/>
        <s v="2024-02-05"/>
        <s v="12/05/2024"/>
        <s v="2024-03-25"/>
        <s v="August 08, 2024"/>
        <s v="22/01/2024"/>
        <s v="06/06/2024"/>
        <s v="28-04-2024"/>
        <s v="20-03-2024"/>
        <s v="September 19, 2024"/>
        <s v="19-09-2024"/>
        <s v="06/03/2024"/>
        <s v="01-06-2024"/>
        <s v="15/07/2024"/>
        <s v="04/16/2024"/>
        <s v="2024-04-18"/>
        <s v="15-03-2024"/>
        <s v="28/05/2024"/>
        <s v="22/06/2024"/>
        <s v="07-06-2024"/>
        <s v="2024-03-20"/>
        <s v="December 10, 2024"/>
        <s v="2024-01-28"/>
        <s v="19-06-2024"/>
        <s v="August 25, 2024"/>
        <s v="Dec-24"/>
        <s v="20-11-2024"/>
        <s v="08/31/2024"/>
        <s v="Apr-24"/>
        <s v="September 10, 2024"/>
        <s v="18/04/2024"/>
        <s v="July 07, 2024"/>
        <s v="11/16/2024"/>
        <s v="2024-04-05"/>
        <s v="18/05/2024"/>
        <s v="12/29/2024"/>
        <s v="07/11/2024"/>
        <s v="13-10-2024"/>
        <s v="29/05/2024"/>
        <s v="14-06-2024"/>
        <s v="21/10/2024"/>
        <s v="August 09, 2024"/>
        <s v="03/18/2024"/>
        <s v="August 19, 2024"/>
        <s v="May-24"/>
        <s v="02/27/2024"/>
        <s v="09/07/2024"/>
        <s v="22-02-2024"/>
        <s v="29-02-2024"/>
        <s v="Oct-24"/>
        <s v="October 27, 2024"/>
        <s v="2024-10-01"/>
        <s v="03/07/2024"/>
        <s v="26/02/2024"/>
        <s v="21/06/2024"/>
        <s v="01/02/2024"/>
        <s v="02/08/2024"/>
        <s v="Jun-24"/>
        <s v="25/08/2024"/>
        <s v="Nov-24"/>
        <s v="29/09/2024"/>
        <s v="10/21/2024"/>
        <s v="2024-04-28"/>
        <s v="25-04-2024"/>
        <s v="27-09-2024"/>
        <s v="30-09-2024"/>
        <s v="05/08/2024"/>
        <s v="12/04/2024"/>
        <s v="15-10-2024"/>
        <s v="13/05/2024"/>
        <s v="2024-07-25"/>
        <s v="2024-08-29"/>
        <s v="May 10, 2024"/>
        <s v="September 03, 2024"/>
        <s v="01/13/2024"/>
        <s v="26-11-2024"/>
        <s v="03-09-2024"/>
        <s v="2024-02-26"/>
        <s v="June 23, 2024"/>
        <s v="10/12/2024"/>
        <s v="2024-05-09"/>
        <s v="December 17, 2024"/>
        <s v="01/11/2024"/>
        <s v="17/10/2024"/>
        <s v="28-11-2024"/>
        <s v="01-05-2024"/>
        <s v="2024-02-22"/>
        <s v="08/06/2024"/>
        <s v="15/03/2024"/>
        <s v="August 16, 2024"/>
        <s v="12/16/2024"/>
        <s v="28/04/2024"/>
        <s v="October 26, 2024"/>
        <s v="August 27, 2024"/>
        <s v="20/08/2024"/>
        <s v="November 06, 2024"/>
        <s v="15/02/2024"/>
        <s v="20-10-2024"/>
        <s v="07/15/2024"/>
        <s v="August 31, 2024"/>
        <s v="July 28, 2024"/>
        <s v="06/17/2024"/>
        <s v="June 25, 2024"/>
        <s v="18/09/2024"/>
        <s v="14/11/2024"/>
        <s v="10/09/2024"/>
        <s v="13-08-2024"/>
        <s v="22/05/2024"/>
        <s v="April 15, 2024"/>
        <s v="2024-03-22"/>
        <s v="01/24/2024"/>
        <s v="27-11-2024"/>
        <s v="27/06/2024"/>
        <s v="April 25, 2024"/>
        <s v="27-03-2024"/>
        <s v="15/10/2024"/>
        <s v="16-10-2024"/>
        <s v="2024-06-10"/>
        <s v="08/24/2024"/>
        <s v="2024-02-19"/>
        <s v="March 14, 2024"/>
        <s v="November 26, 2024"/>
        <s v="December 29, 2024"/>
        <s v="November 18, 2024"/>
        <s v="02-11-2024"/>
        <s v="03-01-2024"/>
        <s v="2024-07-13"/>
        <s v="2024-10-17"/>
        <s v="01/01/2024"/>
        <s v="09/30/2024"/>
        <s v="08/21/2024"/>
        <s v="May 24, 2024"/>
        <s v="08/09/2024"/>
        <s v="12-10-2024"/>
        <s v="14/03/2024"/>
        <s v="23/07/2024"/>
        <s v="11/12/2024"/>
        <s v="January 10, 2024"/>
        <s v="15-01-2024"/>
        <s v="25-01-2024"/>
        <s v="March 24, 2024"/>
        <s v="2024-02-02"/>
        <s v="22/02/2024"/>
        <s v="May 03, 2024"/>
        <s v="10/04/2024"/>
        <s v="09/04/2024"/>
        <s v="26-10-2024"/>
        <s v="02-12-2024"/>
        <s v="21/03/2024"/>
        <s v="November 19, 2024"/>
        <s v="03/27/2024"/>
        <s v="04/05/2024"/>
        <s v="05-10-2024"/>
        <s v="29/01/2024"/>
        <s v="07/28/2024"/>
        <s v="04-01-2024"/>
        <s v="December 16, 2024"/>
        <s v="2024-07-03"/>
        <s v="07/29/2024"/>
        <s v="09/05/2024"/>
        <s v="2024-12-26"/>
        <s v="February 02, 2024"/>
        <s v="2024-07-27"/>
        <s v="03/03/2024"/>
        <s v="06-07-2024"/>
        <s v="09/02/2024"/>
        <s v="30/01/2024"/>
        <s v="June 11, 2024"/>
        <s v="09/24/2024"/>
        <s v="Feb-24"/>
        <s v="18/08/2024"/>
        <s v="February 06, 2024"/>
        <s v="21/11/2024"/>
        <s v="26-12-2024"/>
        <s v="2024-01-02"/>
        <s v="07-11-2024"/>
        <s v="01/09/2024"/>
        <s v="2024-04-23"/>
        <s v="August 02, 2024"/>
        <s v="July 20, 2024"/>
        <s v="05/04/2024"/>
        <s v="15-11-2024"/>
        <s v="06/21/2024"/>
        <s v="26/07/2024"/>
        <s v="03/02/2024"/>
        <s v="2024-01-15"/>
        <s v="30-05-2024"/>
        <s v="17/08/2024"/>
        <s v="11/09/2024"/>
        <s v="2024-05-05"/>
        <s v="2024-07-02"/>
        <s v="2024-03-09"/>
        <s v="November 23, 2024"/>
        <s v="2024-09-10"/>
        <s v="June 21, 2024"/>
        <s v="05-11-2024"/>
        <s v="December 01, 2024"/>
        <s v="08-08-2024"/>
        <s v="April 24, 2024"/>
        <s v="05/25/2024"/>
        <s v="29-09-2024"/>
        <s v="01/12/2024"/>
        <s v="Jul-24"/>
        <s v="2024-02-29"/>
        <s v="11/30/2024"/>
        <s v="December 09, 2024"/>
        <s v="May 05, 2024"/>
        <s v="12/17/2024"/>
        <s v="03-12-2024"/>
        <s v="2024-01-19"/>
        <s v="20-06-2024"/>
        <s v="2024-09-17"/>
        <s v="27-01-2024"/>
        <s v="07-08-2024"/>
        <s v="08/08/2024"/>
        <s v="November 14, 2024"/>
        <s v="January 14, 2024"/>
        <s v="18/11/2024"/>
        <s v="20-04-2024"/>
        <s v="07-07-2024"/>
        <s v="03/21/2024"/>
        <s v="23/02/2024"/>
        <s v="07/31/2024"/>
        <s v="25-07-2024"/>
        <s v="May 27, 2024"/>
        <s v="23-08-2024"/>
        <s v="December 13, 2024"/>
        <s v="2024-08-27"/>
        <s v="December 30, 2024"/>
        <s v="01/03/2024"/>
        <s v="2024-09-12"/>
        <s v="18-09-2024"/>
        <s v="September 07, 2024"/>
        <s v="July 18, 2024"/>
        <s v="01/08/2024"/>
        <s v="24-07-2024"/>
        <s v="12/19/2024"/>
        <s v="24-04-2024"/>
        <s v="02/10/2024"/>
        <s v="2024-03-06"/>
        <s v="24-12-2024"/>
        <s v="16/09/2024"/>
        <s v="2024-01-01"/>
        <s v="October 06, 2024"/>
        <s v="2024-03-23"/>
        <s v="August 14, 2024"/>
        <s v="26-05-2024"/>
        <s v="01/29/2024"/>
        <s v="14/04/2024"/>
        <s v="31/05/2024"/>
        <s v="July 31, 2024"/>
        <s v="22/07/2024"/>
        <s v="05/29/2024"/>
        <s v="23/06/2024"/>
        <s v="12/01/2024"/>
        <s v="2024-10-14"/>
        <s v="25/10/2024"/>
        <s v="2024-07-28"/>
        <s v="2024-11-19"/>
        <s v="July 04, 2024"/>
        <s v="2024-08-31"/>
        <s v="June 22, 2024"/>
        <s v="05/01/2024"/>
        <s v="November 13, 2024"/>
        <s v="2024-12-20"/>
        <s v="2024-06-13"/>
        <s v="2024-12-06"/>
        <s v="July 24, 2024"/>
        <s v="19/04/2024"/>
        <s v="11-08-2024"/>
        <s v="2024-08-24"/>
        <s v="10/08/2024"/>
        <s v="28-08-2024"/>
        <s v="22-01-2024"/>
        <s v="29-12-2024"/>
        <s v="07/04/2024"/>
        <s v="2024-04-03"/>
        <s v="25/03/2024"/>
        <s v="16/03/2024"/>
        <s v="22/09/2024"/>
        <s v="12-05-2024"/>
        <s v="17-11-2024"/>
        <s v="July 15, 2024"/>
        <s v="November 12, 2024"/>
        <s v="2024-09-26"/>
        <s v="2024-12-18"/>
        <s v="06/11/2024"/>
        <s v="2024-10-22"/>
        <s v="03-11-2024"/>
        <s v="02/18/2024"/>
        <s v="2024-06-30"/>
        <s v="10/15/2024"/>
        <s v="03/10/2024"/>
        <s v="2024-12-22"/>
        <s v="April 04, 2024"/>
        <s v="06-08-2024"/>
        <s v="08/15/2024"/>
        <s v="08/05/2024"/>
        <s v="11/14/2024"/>
        <s v="05/11/2024"/>
        <s v="March 19, 2024"/>
        <s v="10-03-2024"/>
        <s v="December 03, 2024"/>
        <s v="2024-01-26"/>
        <s v="07-02-2024"/>
        <s v="10/02/2024"/>
        <s v="19-10-2024"/>
        <s v="2024-10-31"/>
        <s v="June 15, 2024"/>
        <s v="12-02-2024"/>
        <s v="23-07-2024"/>
        <s v="09/28/2024"/>
        <s v="19/12/2024"/>
        <s v="15/11/2024"/>
        <s v="05/03/2024"/>
        <s v="31/03/2024"/>
        <s v="10/06/2024"/>
        <s v="21-09-2024"/>
        <s v="01/05/2024"/>
        <s v="07/14/2024"/>
        <s v="May 11, 2024"/>
        <s v="04/22/2024"/>
        <s v="14-09-2024"/>
        <s v="11/28/2024"/>
        <s v="26-02-2024"/>
        <s v="12/14/2024"/>
        <s v="2024-11-04"/>
        <s v="March 17, 2024"/>
        <s v="09/15/2024"/>
        <s v="2024-04-26"/>
        <s v="08-09-2024"/>
        <s v="03/23/2024"/>
        <s v="2024-02-01"/>
        <s v="December 12, 2024"/>
        <s v="24/11/2024"/>
        <s v="April 09, 2024"/>
        <s v="June 12, 2024"/>
        <s v="December 21, 2024"/>
        <s v="December 26, 2024"/>
        <s v="2024-05-27"/>
        <s v="July 12, 2024"/>
        <s v="02/28/2024"/>
        <s v="28-06-2024"/>
        <s v="2024-04-21"/>
        <s v="March 16, 2024"/>
        <s v="2024-02-14"/>
        <s v="14-08-2024"/>
        <s v="2024-10-02"/>
        <s v="03-02-2024"/>
        <s v="17/03/2024"/>
        <s v="2024-01-16"/>
        <s v="27/04/2024"/>
        <s v="23-05-2024"/>
        <s v="14-10-2024"/>
        <s v="2024-09-23"/>
        <s v="20-05-2024"/>
        <s v="13/11/2024"/>
        <s v="04/20/2024"/>
        <s v="April 13, 2024"/>
        <s v="2024-04-16"/>
        <s v="13/04/2024"/>
        <s v="November 01, 2024"/>
        <s v="2024-02-27"/>
        <s v="2024-02-17"/>
        <s v="November 05, 2024"/>
        <s v="11-09-2024"/>
        <s v="10-10-2024"/>
      </sharedItems>
    </cacheField>
    <cacheField name="Type" numFmtId="0">
      <sharedItems>
        <s v="Revenue"/>
        <s v="Expense"/>
        <s v="Contra-Revenue"/>
      </sharedItems>
    </cacheField>
    <cacheField name="Category" numFmtId="0">
      <sharedItems>
        <s v="Subscription"/>
        <s v="Cloud Infrastructure"/>
        <s v="Marketing"/>
        <s v="Licensing"/>
        <s v="Professional Services"/>
        <s v="G&amp;A"/>
        <s v="Engineering"/>
        <s v="Sales"/>
        <s v="Customer Success"/>
      </sharedItems>
    </cacheField>
    <cacheField name="Department" numFmtId="0">
      <sharedItems>
        <s v="Sales Dept"/>
        <s v="cloud infra"/>
        <s v="CLOUD"/>
        <s v="marketing"/>
        <s v="sales"/>
        <s v="G and A"/>
        <s v="Eng"/>
        <s v="Mktg"/>
        <s v="R&amp;D"/>
        <s v="G&amp;A"/>
        <s v="Cloud Infrastructure"/>
        <s v="Customer Suc."/>
        <s v="CS"/>
        <s v="General &amp; Admin"/>
        <s v="engineering"/>
        <s v="G &amp; A"/>
        <s v="Mktng"/>
        <s v="Cust Success"/>
        <s v="Engineering "/>
        <s v="Customer Success"/>
      </sharedItems>
    </cacheField>
    <cacheField name="Description" numFmtId="0">
      <sharedItems>
        <s v="Subscription - Pinnacle Systems"/>
        <s v="Contractor - Delta Airlines"/>
        <s v="Subscription - Redwood Partners"/>
        <s v="Salary - Accenture"/>
        <s v="Salary - Hilton Hotels"/>
        <s v="Licensing - Redwood Partners"/>
        <s v="Subscription - Apex Retail"/>
        <s v="Legal - Salesforce"/>
        <s v="Professional Services - Altura Health"/>
        <s v="Legal - WeWork"/>
        <s v="Licensing - BlueSky Logistics"/>
        <s v="Recruiting - Randstad"/>
        <s v="Salary - Delta Airlines"/>
        <s v="Ad Spend - Hilton Hotels"/>
        <s v="Software License - Slack"/>
        <s v="AWS/Cloud - Delta Airlines"/>
        <s v="Travel - Hilton Hotels"/>
        <s v="Subscription - TechNova Ltd"/>
        <s v="PR Agency - Zoom"/>
        <s v="Ad Spend - Linklaters LLP"/>
        <s v="Licensing - Altura Health"/>
        <s v="Ad Spend - Zoom"/>
        <s v="PR Agency - Delta Airlines"/>
        <s v="Software License - Randstad"/>
        <s v="Professional Services - Synapse AI"/>
        <s v="Salary - AWS"/>
        <s v="AWS/Cloud - Randstad"/>
        <s v="Travel - Slack"/>
        <s v="Ad Spend - WeWork"/>
        <s v="Software License - Linklaters LLP"/>
        <s v="Ad Spend - Delta Airlines"/>
        <s v="Subscription - Orion Media"/>
        <s v="Professional Services - Vertex Analytics"/>
        <s v="Travel - Linklaters LLP"/>
        <s v="AWS/Cloud - WeWork"/>
        <s v="Office Supplies - WeWork"/>
        <s v="Legal - HubSpot"/>
        <s v="Travel - WeWork"/>
        <s v="Licensing - Orion Media"/>
        <s v="Professional Services - TechNova Ltd"/>
        <s v="Licensing - Vertex Analytics"/>
        <s v="Licensing - ClearPath Finance"/>
        <s v="Subscription - Vertex Analytics"/>
        <s v="Legal - Google Cloud"/>
        <s v="Recruiting - Omnicom Group"/>
        <s v="Professional Services - Globex Corp"/>
        <s v="Subscription - Globex Corp"/>
        <s v="Professional Services - ClearPath Finance"/>
        <s v="Professional Services - Pinnacle Systems"/>
        <s v="Software License - Google Cloud"/>
        <s v="PR Agency - WeWork"/>
        <s v="Licensing - Pinnacle Systems"/>
        <s v="Professional Services - Apex Retail"/>
        <s v="Subscription - Synapse AI"/>
        <s v="AWS/Cloud - HubSpot"/>
        <s v="Professional Services - Orion Media"/>
        <s v="Licensing - Globex Corp"/>
        <s v="Recruiting - Salesforce"/>
        <s v="Travel - Accenture"/>
        <s v="Salary - HubSpot"/>
        <s v="Contractor - Accenture"/>
        <s v="Professional Services - Redwood Partners"/>
        <s v="Contractor - Linklaters LLP"/>
        <s v="Licensing - Apex Retail"/>
        <s v="Recruiting - Google Cloud"/>
        <s v="AWS/Cloud - Linklaters LLP"/>
        <s v="AWS/Cloud - Omnicom Group"/>
        <s v="AWS/Cloud - Slack"/>
        <s v="Licensing - Synapse AI"/>
        <s v="AWS/Cloud - Zoom"/>
        <s v="PR Agency - Slack"/>
        <s v="Ad Spend - Omnicom Group"/>
        <s v="Office Supplies - Randstad"/>
        <s v="PR Agency - HubSpot"/>
        <s v="Salary - Google Cloud"/>
        <s v="Subscription - Meridian Bank"/>
        <s v="Office Supplies - Omnicom Group"/>
        <s v="PR Agency - Hilton Hotels"/>
        <s v="Licensing - TechNova Ltd"/>
        <s v="Office Supplies - Delta Airlines"/>
        <s v="Software License - Hilton Hotels"/>
        <s v="Legal - AWS"/>
        <s v="Salary - Omnicom Group"/>
        <s v="Ad Spend - Accenture"/>
        <s v="Software License - Deloitte"/>
        <s v="Ad Spend - AWS"/>
        <s v="PR Agency - Deloitte"/>
        <s v="Contractor - AWS"/>
        <s v="Office Supplies - Zoom"/>
        <s v="Subscription - BlueSky Logistics"/>
        <s v="Legal - Hilton Hotels"/>
        <s v="Legal - Omnicom Group"/>
        <s v="Recruiting - Accenture"/>
        <s v="Legal - Randstad"/>
        <s v="AWS/Cloud - AWS"/>
        <s v="AWS/Cloud - Deloitte"/>
        <s v="Office Supplies - Hilton Hotels"/>
        <s v="Recruiting - Linklaters LLP"/>
        <s v="Recruiting - Hilton Hotels"/>
        <s v="PR Agency - Google Cloud"/>
        <s v="Ad Spend - Google Cloud"/>
        <s v="Software License - Delta Airlines"/>
        <s v="Professional Services - BlueSky Logistics"/>
        <s v="Salary - WeWork"/>
        <s v="Ad Spend - Randstad"/>
        <s v="Travel - Salesforce"/>
        <s v="Office Supplies - Deloitte"/>
        <s v="PR Agency - Randstad"/>
        <s v="Subscription - Altura Health"/>
        <s v="Legal - Slack"/>
        <s v="Salary - Randstad"/>
        <s v="Contractor - Google Cloud"/>
        <s v="PR Agency - Accenture"/>
        <s v="Professional Services - Meridian Bank"/>
        <s v="Travel - Google Cloud"/>
        <s v="Contractor - Zoom"/>
        <s v="Software License - HubSpot"/>
        <s v="Legal - Accenture"/>
        <s v="Ad Spend - HubSpot"/>
        <s v="PR Agency - AWS"/>
        <s v="Recruiting - Deloitte"/>
        <s v="Software License - Salesforce"/>
        <s v="Legal - Zoom"/>
        <s v="Contractor - WeWork"/>
        <s v="AWS/Cloud - Google Cloud"/>
        <s v="Legal - Delta Airlines"/>
        <s v="PR Agency - Salesforce"/>
        <s v="Recruiting - Zoom"/>
        <s v="Recruiting - WeWork"/>
        <s v="Software License - Omnicom Group"/>
        <s v="Legal - Deloitte"/>
        <s v="Office Supplies - Accenture"/>
        <s v="Ad Spend - Salesforce"/>
        <s v="Contractor - Omnicom Group"/>
        <s v="Software License - AWS"/>
        <s v="AWS/Cloud - Salesforce"/>
        <s v="Salary - Salesforce"/>
        <s v="PR Agency - Omnicom Group"/>
        <s v="Office Supplies - Slack"/>
        <s v="Recruiting - HubSpot"/>
        <s v="Contractor - Deloitte"/>
        <s v="Office Supplies - AWS"/>
        <s v="Office Supplies - Google Cloud"/>
        <s v="Contractor - Randstad"/>
        <s v="Subscription - ClearPath Finance"/>
        <s v="Recruiting - Delta Airlines"/>
        <s v="Salary - Deloitte"/>
        <s v="Software License - Zoom"/>
        <s v="Contractor - Salesforce"/>
        <s v="Recruiting - Slack"/>
        <s v="Travel - HubSpot"/>
        <s v="Software License - WeWork"/>
        <s v="Salary - Zoom"/>
        <s v="Software License - Accenture"/>
        <s v="AWS/Cloud - Hilton Hotels"/>
        <s v="Contractor - Hilton Hotels"/>
        <s v="Office Supplies - Salesforce"/>
        <s v="Travel - Delta Airlines"/>
      </sharedItems>
    </cacheField>
    <cacheField name="Amount (USD)">
      <sharedItems containsBlank="1" containsMixedTypes="1" containsNumber="1">
        <n v="68037.03"/>
        <n v="39375.28"/>
        <n v="251866.75"/>
        <n v="22219.83"/>
        <n v="54150.77"/>
        <n v="6708.47"/>
        <n v="149903.37"/>
        <n v="10013.89"/>
        <n v="21411.91"/>
        <n v="9918.62"/>
        <n v="6750.78"/>
        <n v="16812.38"/>
        <n v="21612.23"/>
        <n v="10129.21"/>
        <n v="32562.8"/>
        <n v="24078.44"/>
        <n v="29097.3"/>
        <n v="559559.73"/>
        <n v="105296.87"/>
        <n v="138733.49"/>
        <n v="33435.12"/>
        <n v="18638.21"/>
        <n v="90215.59"/>
        <n v="7490.67"/>
        <n v="26135.97"/>
        <n v="12105.45"/>
        <n v="24138.1"/>
        <n v="20871.91"/>
        <n v="37997.96"/>
        <n v="22421.75"/>
        <n v="12571.55"/>
        <n v="12219.14"/>
        <n v="30079.33"/>
        <n v="13746.82"/>
        <n v="18874.72"/>
        <n v="144260.58"/>
        <n v="24777.81"/>
        <n v="27990.06"/>
        <n v="58324.51"/>
        <n v="28569.62"/>
        <n v="17996.1"/>
        <n v="36377.1"/>
        <n v="26734.12"/>
        <n v="6371.57"/>
        <n v="14601.16"/>
        <n v="8918.29"/>
        <n v="6040.53"/>
        <n v="7976.65"/>
        <n v="192445.88"/>
        <n v="46810.09"/>
        <n v="26973.1"/>
        <n v="10669.47"/>
        <n v="24516.69"/>
        <n v="6484.32"/>
        <n v="234800.48"/>
        <n v="11239.35"/>
        <n v="13928.63"/>
        <n v="50605.28"/>
        <n v="35318.3"/>
        <n v="9224.9"/>
        <n v="49650.39"/>
        <n v="16137.19"/>
        <n v="8576.04"/>
        <n v="10361.24"/>
        <n v="38468.72"/>
        <n v="12245.36"/>
        <n v="5237.29"/>
        <n v="176379.84"/>
        <n v="20825.33"/>
        <n v="4920.56"/>
        <n v="9013.03"/>
        <n v="12676.86"/>
        <n v="25409.61"/>
        <n v="16961.28"/>
        <n v="56546.05"/>
        <n v="22073.81"/>
        <n v="19438.97"/>
        <n v="31905.83"/>
        <n v="14146.91"/>
        <n v="11716.04"/>
        <n v="8582.78"/>
        <n v="19266.58"/>
        <n v="-18275.63"/>
        <n v="10631.4"/>
        <n v="8050.17"/>
        <n v="15849.2"/>
        <n v="19724.98"/>
        <n v="21169.37"/>
        <n v="17700.94"/>
        <n v="8503.75"/>
        <n v="23569.5"/>
        <n v="5011.51"/>
        <n v="33462.21"/>
        <n v="31653.81"/>
        <n v="50426.49"/>
        <n v="74351.66"/>
        <n v="28776.79"/>
        <n v="27844.39"/>
        <n v="27284.9"/>
        <n v="48436.88"/>
        <n v="93784.77"/>
        <n v="25943.25"/>
        <m/>
        <n v="13083.66"/>
        <n v="7716.39"/>
        <n v="8210.02"/>
        <n v="16270.3"/>
        <n v="51183.7"/>
        <n v="27241.24"/>
        <n v="112263.8"/>
        <n v="14226.91"/>
        <n v="17504.65"/>
        <n v="66012.94"/>
        <n v="42965.82"/>
        <n v="24325.17"/>
        <n v="23086.45"/>
        <n v="27890.57"/>
        <n v="40450.51"/>
        <n v="24554.33"/>
        <n v="61367.77"/>
        <n v="82144.32"/>
        <n v="7752.2"/>
        <n v="-22593.71"/>
        <n v="11975.67"/>
        <n v="53758.28"/>
        <n v="146162.64"/>
        <n v="8788.04"/>
        <n v="18499.02"/>
        <n v="20443.93"/>
        <n v="108984.86"/>
        <n v="32649.83"/>
        <n v="23296.77"/>
        <n v="9573.22"/>
        <n v="16529.11"/>
        <n v="40701.75"/>
        <n v="27758.72"/>
        <n v="28424.39"/>
        <n v="-3754.08"/>
        <n v="8037.67"/>
        <n v="60051.84"/>
        <n v="13427.73"/>
        <n v="20676.68"/>
        <n v="12140.08"/>
        <n v="17008.34"/>
        <n v="29871.54"/>
        <n v="13107.62"/>
        <n v="136078.17"/>
        <n v="53762.71"/>
        <n v="112888.9"/>
        <n v="40177.69"/>
        <n v="12539.61"/>
        <n v="23903.2"/>
        <n v="27769.27"/>
        <n v="25477.45"/>
        <n v="27473.77"/>
        <n v="17791.76"/>
        <n v="-4785.93"/>
        <n v="-7412.24"/>
        <n v="64742.86"/>
        <n v="19437.26"/>
        <n v="30444.84"/>
        <n v="22027.3"/>
        <n v="23517.94"/>
        <n v="36505.5"/>
        <n v="25684.53"/>
        <n v="61641.47"/>
        <n v="290249.79"/>
        <n v="10493.83"/>
        <n v="22633.46"/>
        <n v="174580.7"/>
        <n v="48794.58"/>
        <n v="24982.9"/>
        <n v="46692.45"/>
        <n v="46071.87"/>
        <n v="28933.3"/>
        <n v="11760.15"/>
        <n v="17298.05"/>
        <n v="102936.49"/>
        <n v="31787.73"/>
        <n v="13044.89"/>
        <n v="12564.15"/>
        <n v="21225.92"/>
        <n v="18007.48"/>
        <n v="18190.84"/>
        <n v="25018.52"/>
        <n v="6757.14"/>
        <n v="13984.49"/>
        <n v="18492.19"/>
        <n v="26965.24"/>
        <n v="12441.35"/>
        <n v="11786.08"/>
        <n v="24337.06"/>
        <n v="21024.62"/>
        <n v="184909.58"/>
        <n v="23331.38"/>
        <n v="9652.61"/>
        <n v="24941.76"/>
        <n v="19462.11"/>
        <n v="32104.56"/>
        <n v="419050.65"/>
        <n v="12115.03"/>
        <n v="8844.28"/>
        <n v="10536.81"/>
        <n v="8516.34"/>
        <n v="28682.03"/>
        <n v="54510.25"/>
        <n v="24137.83"/>
        <n v="25966.36"/>
        <n v="11782.26"/>
        <n v="20614.11"/>
        <n v="22988.71"/>
        <n v="10279.83"/>
        <n v="7561.43"/>
        <n v="26122.63"/>
        <n v="20306.62"/>
        <n v="18194.23"/>
        <n v="29156.65"/>
        <n v="17937.31"/>
        <n v="11005.39"/>
        <n v="14834.22"/>
        <n v="9330.22"/>
        <n v="15131.57"/>
        <n v="19938.15"/>
        <n v="41722.89"/>
        <n v="90646.1"/>
        <n v="4507.14"/>
        <n v="2368.35"/>
        <n v="194869.55"/>
        <n v="13862.94"/>
        <n v="49175.12"/>
        <n v="14837.5"/>
        <n v="12223.72"/>
        <n v="13352.11"/>
        <n v="49832.06"/>
        <n v="49637.84"/>
        <n v="19165.74"/>
        <n v="99375.27"/>
        <n v="18393.23"/>
        <n v="55473.4"/>
        <n v="22588.04"/>
        <n v="9794.07"/>
        <n v="24341.43"/>
        <n v="23976.26"/>
        <n v="13245.11"/>
        <n v="19965.11"/>
        <n v="19444.95"/>
        <n v="19070.03"/>
        <n v="17926.66"/>
        <n v="23049.2"/>
        <n v="15838.94"/>
        <n v="18545.22"/>
        <n v="12953.72"/>
        <n v="164652.69"/>
        <n v="38292.95"/>
        <n v="38330.02"/>
        <n v="24309.28"/>
        <n v="19254.34"/>
        <n v="15446.25"/>
        <n v="35946.41"/>
        <n v="21243.98"/>
        <n v="13865.56"/>
        <n v="20665.01"/>
        <n v="17075.57"/>
        <n v="18924.37"/>
        <n v="19203.51"/>
        <n v="19848.67"/>
        <n v="29364.92"/>
        <n v="69233.06"/>
        <n v="11262.41"/>
        <n v="13608.24"/>
        <n v="24877.93"/>
        <n v="15079.57"/>
        <n v="5788.2"/>
        <n v="7862.81"/>
        <n v="11058.33"/>
        <n v="26681.01"/>
        <n v="19523.77"/>
        <n v="140449.03"/>
        <n v="14127.64"/>
        <n v="18203.89"/>
        <n v="91533.22"/>
        <n v="13063.0"/>
        <n v="61281.36"/>
        <n v="16767.89"/>
        <n v="59940.33"/>
        <n v="19788.0"/>
        <n v="17575.3"/>
        <n v="125388.27"/>
        <n v="7372.92"/>
        <n v="9191.43"/>
        <n v="18902.87"/>
        <n v="11361.58"/>
        <n v="96557.14"/>
        <n v="16358.22"/>
        <n v="20177.52"/>
        <n v="8087.23"/>
        <n v="13432.56"/>
        <n v="10064.61"/>
        <n v="25347.21"/>
        <n v="22902.05"/>
        <n v="29018.17"/>
        <n v="113088.64"/>
        <n v="11696.26"/>
        <n v="19116.83"/>
        <n v="55844.34"/>
        <n v="195603.28"/>
        <n v="59563.34"/>
        <n v="4909.94"/>
        <n v="18772.62"/>
        <n v="13871.24"/>
        <n v="22503.86"/>
        <n v="28628.82"/>
        <n v="24475.88"/>
        <n v="194695.08"/>
        <n v="14065.33"/>
        <n v="20967.4"/>
        <n v="27452.52"/>
        <n v="46395.5"/>
        <n v="23563.64"/>
        <n v="-16252.41"/>
        <n v="34171.79"/>
        <n v="220412.2"/>
        <n v="19693.47"/>
        <n v="14212.28"/>
        <n v="25745.59"/>
        <n v="9910.91"/>
        <n v="24265.56"/>
        <n v="116296.3"/>
        <n v="12023.83"/>
        <n v="6729.38"/>
        <n v="165591.88"/>
        <n v="27638.76"/>
        <n v="9605.66"/>
        <n v="26540.84"/>
        <n v="15635.53"/>
        <n v="8612.86"/>
        <n v="13484.88"/>
        <n v="41924.74"/>
        <n v="113226.46"/>
        <n v="32005.55"/>
        <n v="19486.69"/>
        <n v="531585.49"/>
        <n v="5970.79"/>
        <n v="7996.18"/>
        <n v="22496.08"/>
        <n v="-6686.72"/>
        <n v="83542.91"/>
        <n v="75751.62"/>
        <n v="18194.73"/>
        <n v="8905.44"/>
        <n v="17949.12"/>
        <n v="37316.33"/>
        <n v="209846.8"/>
        <n v="162179.84"/>
        <n v="129276.49"/>
        <n v="16017.53"/>
        <n v="19390.3"/>
        <n v="28515.08"/>
        <n v="163657.57"/>
        <n v="10367.57"/>
        <n v="15849.72"/>
        <n v="35436.05"/>
        <n v="26178.47"/>
        <n v="11843.51"/>
        <n v="19498.84"/>
        <n v="9885.61"/>
        <n v="22295.38"/>
        <n v="24393.09"/>
        <n v="16743.67"/>
        <n v="42631.05"/>
        <n v="171835.24"/>
        <n v="19543.59"/>
        <n v="19698.32"/>
        <n v="25317.63"/>
        <n v="19485.51"/>
        <n v="7932.02"/>
        <n v="13859.5"/>
        <n v="12370.87"/>
        <n v="9563.6"/>
        <n v="55900.99"/>
        <n v="24503.39"/>
        <n v="22418.56"/>
        <n v="7246.32"/>
        <n v="23418.92"/>
        <n v="28699.41"/>
        <n v="15114.36"/>
        <n v="5219.21"/>
        <n v="26621.42"/>
        <n v="10885.03"/>
        <n v="12123.24"/>
        <n v="117310.86"/>
        <n v="11152.72"/>
        <n v="26371.51"/>
        <n v="22455.63"/>
        <n v="18830.28"/>
        <n v="51631.2"/>
        <n v="12701.28"/>
        <n v="41796.02"/>
        <n v="29031.45"/>
        <n v="-11011.65"/>
        <n v="12844.68"/>
        <n v="11855.51"/>
        <n v="22223.37"/>
        <n v="-46864.82"/>
        <n v="27652.77"/>
        <n v="15813.3"/>
        <n v="9653.12"/>
        <n v="6154.67"/>
        <n v="26560.34"/>
        <n v="4744.35"/>
        <n v="85221.74"/>
        <n v="138943.06"/>
        <n v="161006.46"/>
        <n v="2456.96"/>
        <n v="61644.56"/>
        <n v="38889.63"/>
        <n v="31898.67"/>
        <n v="26242.06"/>
        <n v="88488.85"/>
        <n v="11803.74"/>
        <n v="9571.09"/>
        <n v="23344.58"/>
        <n v="12886.5"/>
        <n v="12822.66"/>
        <n v="93977.54"/>
        <n v="7786.69"/>
        <n v="26624.19"/>
        <n v="49008.37"/>
        <n v="7774.02"/>
        <n v="22349.88"/>
        <n v="63488.13"/>
        <n v="8548.04"/>
        <n v="26847.61"/>
        <n v="37203.14"/>
        <n v="38681.67"/>
        <n v="32976.13"/>
        <n v="137466.01"/>
        <n v="24890.85"/>
        <n v="25132.28"/>
        <n v="5572.58"/>
        <n v="17167.63"/>
        <n v="23781.25"/>
        <n v="497286.26"/>
        <n v="82156.2"/>
        <n v="16053.82"/>
        <n v="12723.46"/>
        <n v="23957.92"/>
        <n v="15008.87"/>
        <n v="21200.87"/>
        <n v="10315.44"/>
        <n v="-10775.08"/>
        <n v="27988.84"/>
        <n v="201136.08"/>
        <n v="36677.71"/>
        <n v="9309.53"/>
        <n v="16705.49"/>
        <n v="-6030.69"/>
        <n v="7157.79"/>
        <n v="15576.89"/>
        <n v="16453.87"/>
        <n v="9252.8"/>
        <n v="25402.24"/>
        <n v="34135.96"/>
        <n v="126901.17"/>
        <n v="11089.07"/>
        <n v="426544.55"/>
        <n v="178611.82"/>
        <n v="9902.32"/>
        <s v="see notes"/>
        <n v="23763.65"/>
        <n v="15115.3"/>
        <n v="18877.07"/>
        <n v="8100.32"/>
        <n v="26617.95"/>
        <n v="49553.05"/>
        <n v="38970.34"/>
        <n v="492234.64"/>
        <n v="24259.65"/>
        <n v="12779.13"/>
        <n v="44149.16"/>
        <n v="24024.83"/>
        <n v="9567.37"/>
        <n v="192217.56"/>
        <n v="24151.27"/>
        <n v="207904.87"/>
        <n v="130345.27"/>
        <n v="21777.8"/>
        <n v="7136.24"/>
        <n v="83834.87"/>
        <n v="12318.99"/>
        <n v="17690.91"/>
        <n v="87069.96"/>
        <n v="33681.55"/>
        <n v="44052.32"/>
        <n v="150303.33"/>
        <n v="18561.63"/>
        <n v="19192.1"/>
        <n v="6409.59"/>
        <n v="11526.47"/>
        <n v="15847.41"/>
        <n v="27190.14"/>
        <n v="38410.74"/>
        <n v="47916.7"/>
        <n v="216608.07"/>
        <n v="8160.57"/>
        <n v="-9645.64"/>
        <n v="159598.23"/>
        <n v="8178.69"/>
        <n v="30746.2"/>
        <n v="23175.55"/>
        <n v="20736.58"/>
        <n v="32394.1"/>
        <n v="44677.13"/>
        <n v="23256.83"/>
        <n v="18805.7"/>
        <n v="27339.38"/>
        <n v="8480.1"/>
        <n v="9049.39"/>
      </sharedItems>
    </cacheField>
    <cacheField name="Currency" numFmtId="0">
      <sharedItems>
        <s v="USD"/>
        <s v="GBP"/>
      </sharedItems>
    </cacheField>
    <cacheField name="Rep / Vendor" numFmtId="0">
      <sharedItems>
        <s v="James Okafor"/>
        <s v="Delta Airlines"/>
        <s v="Aisha Rahman"/>
        <s v="Accenture"/>
        <s v="Hilton Hotels"/>
        <s v="Priya Nair"/>
        <s v="Kwame Asante"/>
        <s v="Salesforce"/>
        <s v="WeWork"/>
        <s v="Randstad"/>
        <s v="Slack"/>
        <s v="Sofia Andersen"/>
        <s v="Tom Bradley"/>
        <s v="Daniel Müller"/>
        <s v="Zoom"/>
        <s v="Linklaters LLP"/>
        <s v="AWS"/>
        <s v="HubSpot"/>
        <s v="Lena Fischer"/>
        <s v="Google Cloud"/>
        <s v="Omnicom Group"/>
        <s v="Deloitte"/>
      </sharedItems>
    </cacheField>
    <cacheField name="Month" numFmtId="0">
      <sharedItems containsBlank="1">
        <s v="Jan"/>
        <s v="Dec"/>
        <s v="Mar"/>
        <s v="Oct"/>
        <s v="Jul"/>
        <s v="Apr"/>
        <s v="Sep"/>
        <s v="May"/>
        <s v="Aug"/>
        <s v="Jun"/>
        <s v="Feb"/>
        <s v="Nov"/>
        <m/>
      </sharedItems>
    </cacheField>
    <cacheField name="Quarter" numFmtId="0">
      <sharedItems containsBlank="1">
        <s v="Q1"/>
        <s v="Q4"/>
        <s v="Q3"/>
        <s v="Q2"/>
        <m/>
      </sharedItems>
    </cacheField>
    <cacheField name="Notes">
      <sharedItems containsBlank="1" containsMixedTypes="1" containsNumber="1">
        <m/>
        <s v="refund?"/>
        <n v="16371.3"/>
      </sharedItems>
    </cacheField>
    <cacheField name=" " numFmtId="0">
      <sharedItems containsString="0" containsBlank="1">
        <m/>
      </sharedItems>
    </cacheField>
    <cacheField name="Department_Clean" numFmtId="0">
      <sharedItems>
        <s v="Sales"/>
        <s v="Cloud Infrastructure"/>
        <s v="Marketing"/>
        <s v="G&amp;A"/>
        <s v="Engineering"/>
        <s v="Customer Success"/>
      </sharedItems>
    </cacheField>
    <cacheField name="Date_Clean" numFmtId="164">
      <sharedItems containsSemiMixedTypes="0" containsDate="1" containsString="0">
        <d v="2024-01-09T00:00:00Z"/>
        <d v="2024-12-25T00:00:00Z"/>
        <d v="2025-08-03T00:00:00Z"/>
        <d v="2024-10-22T00:00:00Z"/>
        <d v="2024-07-03T00:00:00Z"/>
        <d v="2024-04-14T00:00:00Z"/>
        <d v="2024-09-15T00:00:00Z"/>
        <d v="2025-09-07T00:00:00Z"/>
        <d v="2024-05-10T00:00:00Z"/>
        <d v="2024-04-06T00:00:00Z"/>
        <d v="2024-03-15T00:00:00Z"/>
        <d v="2024-08-15T00:00:00Z"/>
        <d v="2024-06-28T00:00:00Z"/>
        <d v="2024-09-05T00:00:00Z"/>
        <d v="2024-07-02T00:00:00Z"/>
        <d v="2025-08-02T00:00:00Z"/>
        <d v="2024-01-15T00:00:00Z"/>
        <d v="2024-07-26T00:00:00Z"/>
        <d v="2024-07-06T00:00:00Z"/>
        <d v="2024-11-23T00:00:00Z"/>
        <d v="2025-11-09T00:00:00Z"/>
        <d v="2024-10-10T00:00:00Z"/>
        <d v="2024-10-13T00:00:00Z"/>
        <d v="2024-05-14T00:00:00Z"/>
        <d v="2024-05-22T00:00:00Z"/>
        <d v="2024-02-05T00:00:00Z"/>
        <d v="2024-05-12T00:00:00Z"/>
        <d v="2024-03-25T00:00:00Z"/>
        <d v="2024-08-08T00:00:00Z"/>
        <d v="2024-01-22T00:00:00Z"/>
        <d v="2024-06-06T00:00:00Z"/>
        <d v="2024-04-28T00:00:00Z"/>
        <d v="2024-03-20T00:00:00Z"/>
        <d v="2024-09-19T00:00:00Z"/>
        <d v="2024-03-06T00:00:00Z"/>
        <d v="2024-06-01T00:00:00Z"/>
        <d v="2024-07-15T00:00:00Z"/>
        <d v="2025-04-04T00:00:00Z"/>
        <d v="2024-04-18T00:00:00Z"/>
        <d v="2024-05-28T00:00:00Z"/>
        <d v="2024-06-22T00:00:00Z"/>
        <d v="2024-06-07T00:00:00Z"/>
        <d v="2024-12-10T00:00:00Z"/>
        <d v="2024-01-28T00:00:00Z"/>
        <d v="2024-06-19T00:00:00Z"/>
        <d v="2024-08-25T00:00:00Z"/>
        <d v="2024-12-15T00:00:00Z"/>
        <d v="2024-11-20T00:00:00Z"/>
        <d v="2026-07-08T00:00:00Z"/>
        <d v="2024-04-15T00:00:00Z"/>
        <d v="2024-09-10T00:00:00Z"/>
        <d v="2024-07-07T00:00:00Z"/>
        <d v="2025-04-11T00:00:00Z"/>
        <d v="2024-04-05T00:00:00Z"/>
        <d v="2024-05-18T00:00:00Z"/>
        <d v="2026-05-12T00:00:00Z"/>
        <d v="2024-11-07T00:00:00Z"/>
        <d v="2024-05-29T00:00:00Z"/>
        <d v="2024-06-14T00:00:00Z"/>
        <d v="2024-10-21T00:00:00Z"/>
        <d v="2024-08-09T00:00:00Z"/>
        <d v="2025-06-03T00:00:00Z"/>
        <d v="2024-08-19T00:00:00Z"/>
        <d v="2024-05-15T00:00:00Z"/>
        <d v="2026-03-02T00:00:00Z"/>
        <d v="2024-07-09T00:00:00Z"/>
        <d v="2024-02-22T00:00:00Z"/>
        <d v="2024-02-29T00:00:00Z"/>
        <d v="2024-10-15T00:00:00Z"/>
        <d v="2024-10-27T00:00:00Z"/>
        <d v="2024-10-01T00:00:00Z"/>
        <d v="2024-02-26T00:00:00Z"/>
        <d v="2024-06-21T00:00:00Z"/>
        <d v="2024-02-01T00:00:00Z"/>
        <d v="2024-08-02T00:00:00Z"/>
        <d v="2024-06-15T00:00:00Z"/>
        <d v="2024-11-15T00:00:00Z"/>
        <d v="2024-09-29T00:00:00Z"/>
        <d v="2025-09-10T00:00:00Z"/>
        <d v="2024-04-25T00:00:00Z"/>
        <d v="2024-09-27T00:00:00Z"/>
        <d v="2024-09-30T00:00:00Z"/>
        <d v="2024-08-05T00:00:00Z"/>
        <d v="2024-04-12T00:00:00Z"/>
        <d v="2024-05-13T00:00:00Z"/>
        <d v="2024-07-25T00:00:00Z"/>
        <d v="2024-08-29T00:00:00Z"/>
        <d v="2024-09-03T00:00:00Z"/>
        <d v="2025-01-01T00:00:00Z"/>
        <d v="2024-11-26T00:00:00Z"/>
        <d v="2024-06-23T00:00:00Z"/>
        <d v="2024-05-09T00:00:00Z"/>
        <d v="2024-12-17T00:00:00Z"/>
        <d v="2024-11-01T00:00:00Z"/>
        <d v="2024-10-17T00:00:00Z"/>
        <d v="2024-11-28T00:00:00Z"/>
        <d v="2024-05-01T00:00:00Z"/>
        <d v="2024-06-08T00:00:00Z"/>
        <d v="2024-08-16T00:00:00Z"/>
        <d v="2025-04-12T00:00:00Z"/>
        <d v="2024-10-26T00:00:00Z"/>
        <d v="2024-08-27T00:00:00Z"/>
        <d v="2024-08-20T00:00:00Z"/>
        <d v="2024-11-06T00:00:00Z"/>
        <d v="2024-02-15T00:00:00Z"/>
        <d v="2024-10-20T00:00:00Z"/>
        <d v="2025-03-07T00:00:00Z"/>
        <d v="2024-08-31T00:00:00Z"/>
        <d v="2024-07-28T00:00:00Z"/>
        <d v="2025-05-06T00:00:00Z"/>
        <d v="2024-06-25T00:00:00Z"/>
        <d v="2024-09-18T00:00:00Z"/>
        <d v="2024-11-14T00:00:00Z"/>
        <d v="2024-08-13T00:00:00Z"/>
        <d v="2024-03-22T00:00:00Z"/>
        <d v="2025-12-01T00:00:00Z"/>
        <d v="2024-11-27T00:00:00Z"/>
        <d v="2024-06-27T00:00:00Z"/>
        <d v="2024-03-27T00:00:00Z"/>
        <d v="2024-10-16T00:00:00Z"/>
        <d v="2024-06-10T00:00:00Z"/>
        <d v="2025-12-08T00:00:00Z"/>
        <d v="2024-02-19T00:00:00Z"/>
        <d v="2024-03-14T00:00:00Z"/>
        <d v="2024-12-29T00:00:00Z"/>
        <d v="2024-11-18T00:00:00Z"/>
        <d v="2024-11-02T00:00:00Z"/>
        <d v="2024-01-03T00:00:00Z"/>
        <d v="2024-07-13T00:00:00Z"/>
        <d v="2024-01-01T00:00:00Z"/>
        <d v="2026-06-09T00:00:00Z"/>
        <d v="2025-09-08T00:00:00Z"/>
        <d v="2024-05-24T00:00:00Z"/>
        <d v="2024-09-08T00:00:00Z"/>
        <d v="2024-10-12T00:00:00Z"/>
        <d v="2024-07-23T00:00:00Z"/>
        <d v="2024-12-11T00:00:00Z"/>
        <d v="2024-01-10T00:00:00Z"/>
        <d v="2024-01-25T00:00:00Z"/>
        <d v="2024-03-24T00:00:00Z"/>
        <d v="2024-02-02T00:00:00Z"/>
        <d v="2024-05-03T00:00:00Z"/>
        <d v="2024-04-10T00:00:00Z"/>
        <d v="2024-04-09T00:00:00Z"/>
        <d v="2024-12-02T00:00:00Z"/>
        <d v="2024-03-21T00:00:00Z"/>
        <d v="2024-11-19T00:00:00Z"/>
        <d v="2026-03-03T00:00:00Z"/>
        <d v="2024-05-04T00:00:00Z"/>
        <d v="2024-10-05T00:00:00Z"/>
        <d v="2024-01-29T00:00:00Z"/>
        <d v="2026-04-07T00:00:00Z"/>
        <d v="2024-01-04T00:00:00Z"/>
        <d v="2024-12-16T00:00:00Z"/>
        <d v="2026-05-07T00:00:00Z"/>
        <d v="2024-12-26T00:00:00Z"/>
        <d v="2024-07-27T00:00:00Z"/>
        <d v="2024-03-03T00:00:00Z"/>
        <d v="2024-02-09T00:00:00Z"/>
        <d v="2024-01-30T00:00:00Z"/>
        <d v="2024-06-11T00:00:00Z"/>
        <d v="2025-12-09T00:00:00Z"/>
        <d v="2024-08-18T00:00:00Z"/>
        <d v="2024-02-06T00:00:00Z"/>
        <d v="2024-11-21T00:00:00Z"/>
        <d v="2024-01-02T00:00:00Z"/>
        <d v="2024-09-01T00:00:00Z"/>
        <d v="2024-04-23T00:00:00Z"/>
        <d v="2024-07-20T00:00:00Z"/>
        <d v="2025-09-06T00:00:00Z"/>
        <d v="2024-02-03T00:00:00Z"/>
        <d v="2024-05-30T00:00:00Z"/>
        <d v="2024-08-17T00:00:00Z"/>
        <d v="2024-09-11T00:00:00Z"/>
        <d v="2024-05-05T00:00:00Z"/>
        <d v="2024-03-09T00:00:00Z"/>
        <d v="2024-11-05T00:00:00Z"/>
        <d v="2024-12-01T00:00:00Z"/>
        <d v="2024-04-24T00:00:00Z"/>
        <d v="2026-01-05T00:00:00Z"/>
        <d v="2026-06-11T00:00:00Z"/>
        <d v="2024-12-09T00:00:00Z"/>
        <d v="2025-05-12T00:00:00Z"/>
        <d v="2024-12-03T00:00:00Z"/>
        <d v="2024-01-19T00:00:00Z"/>
        <d v="2024-06-20T00:00:00Z"/>
        <d v="2024-09-17T00:00:00Z"/>
        <d v="2024-01-27T00:00:00Z"/>
        <d v="2024-08-07T00:00:00Z"/>
        <d v="2024-01-14T00:00:00Z"/>
        <d v="2024-04-20T00:00:00Z"/>
        <d v="2025-09-03T00:00:00Z"/>
        <d v="2024-02-23T00:00:00Z"/>
        <d v="2026-07-07T00:00:00Z"/>
        <d v="2024-05-27T00:00:00Z"/>
        <d v="2024-08-23T00:00:00Z"/>
        <d v="2024-12-13T00:00:00Z"/>
        <d v="2024-12-30T00:00:00Z"/>
        <d v="2024-03-01T00:00:00Z"/>
        <d v="2024-09-12T00:00:00Z"/>
        <d v="2024-09-07T00:00:00Z"/>
        <d v="2024-07-18T00:00:00Z"/>
        <d v="2024-08-01T00:00:00Z"/>
        <d v="2024-07-24T00:00:00Z"/>
        <d v="2025-07-12T00:00:00Z"/>
        <d v="2024-10-02T00:00:00Z"/>
        <d v="2024-12-24T00:00:00Z"/>
        <d v="2024-09-16T00:00:00Z"/>
        <d v="2024-10-06T00:00:00Z"/>
        <d v="2024-03-23T00:00:00Z"/>
        <d v="2024-08-14T00:00:00Z"/>
        <d v="2024-05-26T00:00:00Z"/>
        <d v="2026-05-01T00:00:00Z"/>
        <d v="2024-05-31T00:00:00Z"/>
        <d v="2024-07-31T00:00:00Z"/>
        <d v="2024-07-22T00:00:00Z"/>
        <d v="2026-05-05T00:00:00Z"/>
        <d v="2024-01-12T00:00:00Z"/>
        <d v="2024-10-14T00:00:00Z"/>
        <d v="2024-10-25T00:00:00Z"/>
        <d v="2024-07-04T00:00:00Z"/>
        <d v="2024-01-05T00:00:00Z"/>
        <d v="2024-11-13T00:00:00Z"/>
        <d v="2024-12-20T00:00:00Z"/>
        <d v="2024-06-13T00:00:00Z"/>
        <d v="2024-12-06T00:00:00Z"/>
        <d v="2024-04-19T00:00:00Z"/>
        <d v="2024-08-11T00:00:00Z"/>
        <d v="2024-08-24T00:00:00Z"/>
        <d v="2024-08-10T00:00:00Z"/>
        <d v="2024-08-28T00:00:00Z"/>
        <d v="2024-04-07T00:00:00Z"/>
        <d v="2024-04-03T00:00:00Z"/>
        <d v="2024-03-16T00:00:00Z"/>
        <d v="2024-09-22T00:00:00Z"/>
        <d v="2024-11-17T00:00:00Z"/>
        <d v="2024-11-12T00:00:00Z"/>
        <d v="2024-09-26T00:00:00Z"/>
        <d v="2024-12-18T00:00:00Z"/>
        <d v="2024-11-03T00:00:00Z"/>
        <d v="2025-06-02T00:00:00Z"/>
        <d v="2024-06-30T00:00:00Z"/>
        <d v="2025-03-10T00:00:00Z"/>
        <d v="2024-10-03T00:00:00Z"/>
        <d v="2024-12-22T00:00:00Z"/>
        <d v="2024-04-04T00:00:00Z"/>
        <d v="2024-08-06T00:00:00Z"/>
        <d v="2025-03-08T00:00:00Z"/>
        <d v="2024-05-08T00:00:00Z"/>
        <d v="2025-02-11T00:00:00Z"/>
        <d v="2024-03-19T00:00:00Z"/>
        <d v="2024-03-10T00:00:00Z"/>
        <d v="2024-01-26T00:00:00Z"/>
        <d v="2024-02-07T00:00:00Z"/>
        <d v="2024-02-10T00:00:00Z"/>
        <d v="2024-10-19T00:00:00Z"/>
        <d v="2024-10-31T00:00:00Z"/>
        <d v="2024-02-12T00:00:00Z"/>
        <d v="2026-04-09T00:00:00Z"/>
        <d v="2024-12-19T00:00:00Z"/>
        <d v="2024-03-05T00:00:00Z"/>
        <d v="2024-03-31T00:00:00Z"/>
        <d v="2024-09-21T00:00:00Z"/>
        <d v="2025-02-07T00:00:00Z"/>
        <d v="2024-05-11T00:00:00Z"/>
        <d v="2025-10-04T00:00:00Z"/>
        <d v="2024-09-14T00:00:00Z"/>
        <d v="2026-04-11T00:00:00Z"/>
        <d v="2025-02-12T00:00:00Z"/>
        <d v="2024-11-04T00:00:00Z"/>
        <d v="2024-03-17T00:00:00Z"/>
        <d v="2025-03-09T00:00:00Z"/>
        <d v="2024-04-26T00:00:00Z"/>
        <d v="2025-11-03T00:00:00Z"/>
        <d v="2024-12-12T00:00:00Z"/>
        <d v="2024-11-24T00:00:00Z"/>
        <d v="2024-06-12T00:00:00Z"/>
        <d v="2024-12-21T00:00:00Z"/>
        <d v="2024-07-12T00:00:00Z"/>
        <d v="2026-04-02T00:00:00Z"/>
        <d v="2024-04-21T00:00:00Z"/>
        <d v="2024-02-14T00:00:00Z"/>
        <d v="2024-01-16T00:00:00Z"/>
        <d v="2024-04-27T00:00:00Z"/>
        <d v="2024-05-23T00:00:00Z"/>
        <d v="2024-09-23T00:00:00Z"/>
        <d v="2024-05-20T00:00:00Z"/>
        <d v="2025-08-04T00:00:00Z"/>
        <d v="2024-04-13T00:00:00Z"/>
        <d v="2024-04-16T00:00:00Z"/>
        <d v="2024-02-27T00:00:00Z"/>
        <d v="2024-02-17T00:00:00Z"/>
      </sharedItems>
    </cacheField>
    <cacheField name="Raw Variant" numFmtId="0">
      <sharedItems containsBlank="1">
        <s v="CLOUD"/>
        <s v="Cloud Infrastructure"/>
        <s v="cloud infra"/>
        <s v="CS"/>
        <s v="Customer Success"/>
        <s v="Customer Suc."/>
        <s v="Cust Success"/>
        <s v="Eng"/>
        <s v="Engineering"/>
        <s v="R&amp;D"/>
        <s v="G &amp; A"/>
        <s v="G&amp;A"/>
        <s v="General &amp; Admin"/>
        <s v="G and A"/>
        <s v="marketing"/>
        <s v="Mktng"/>
        <s v="Mktg"/>
        <s v="sales"/>
        <s v="Sales Dept"/>
        <m/>
      </sharedItems>
    </cacheField>
    <cacheField name="Clean Name" numFmtId="0">
      <sharedItems containsBlank="1">
        <s v="Cloud Infrastructure"/>
        <s v="Customer Success"/>
        <s v="Engineering"/>
        <s v="G&amp;A"/>
        <s v="Marketing"/>
        <s v="Sales"/>
        <m/>
      </sharedItems>
    </cacheField>
    <cacheField name="Month_Clean" numFmtId="0">
      <sharedItems>
        <s v="Jan"/>
        <s v="Dec"/>
        <s v="Aug"/>
        <s v="Oct"/>
        <s v="Jul"/>
        <s v="Apr"/>
        <s v="Sep"/>
        <s v="May"/>
        <s v="Mar"/>
        <s v="Jun"/>
        <s v="Nov"/>
        <s v="Feb"/>
      </sharedItems>
    </cacheField>
    <cacheField name="Quarter_Clean" numFmtId="0">
      <sharedItems>
        <s v="Q1"/>
        <s v="Q4"/>
        <s v="Q3"/>
        <s v="Q2"/>
      </sharedItems>
    </cacheField>
    <cacheField name="Amount_Clean_USD" numFmtId="0">
      <sharedItems containsSemiMixedTypes="0" containsString="0" containsNumber="1">
        <n v="68037.03"/>
        <n v="39375.28"/>
        <n v="251866.75"/>
        <n v="22219.83"/>
        <n v="54150.77"/>
        <n v="6708.47"/>
        <n v="149903.37"/>
        <n v="12717.6403"/>
        <n v="21411.91"/>
        <n v="9918.62"/>
        <n v="6750.78"/>
        <n v="16812.38"/>
        <n v="21612.23"/>
        <n v="10129.21"/>
        <n v="32562.8"/>
        <n v="24078.44"/>
        <n v="29097.3"/>
        <n v="559559.73"/>
        <n v="105296.87"/>
        <n v="138733.49"/>
        <n v="33435.12"/>
        <n v="18638.21"/>
        <n v="90215.59"/>
        <n v="7490.67"/>
        <n v="26135.97"/>
        <n v="12105.45"/>
        <n v="24138.1"/>
        <n v="20871.91"/>
        <n v="37997.96"/>
        <n v="22421.75"/>
        <n v="12571.55"/>
        <n v="12219.14"/>
        <n v="30079.33"/>
        <n v="13746.82"/>
        <n v="18874.72"/>
        <n v="144260.58"/>
        <n v="24777.81"/>
        <n v="27990.06"/>
        <n v="58324.51"/>
        <n v="28569.62"/>
        <n v="17996.1"/>
        <n v="36377.1"/>
        <n v="26734.12"/>
        <n v="6371.57"/>
        <n v="14601.16"/>
        <n v="8918.29"/>
        <n v="6040.53"/>
        <n v="7976.65"/>
        <n v="192445.88"/>
        <n v="46810.09"/>
        <n v="26973.1"/>
        <n v="10669.47"/>
        <n v="24516.69"/>
        <n v="6484.32"/>
        <n v="234800.48"/>
        <n v="11239.35"/>
        <n v="13928.63"/>
        <n v="50605.28"/>
        <n v="35318.3"/>
        <n v="9224.9"/>
        <n v="49650.39"/>
        <n v="16137.19"/>
        <n v="8576.04"/>
        <n v="10361.24"/>
        <n v="38468.72"/>
        <n v="12245.36"/>
        <n v="5237.29"/>
        <n v="176379.84"/>
        <n v="20825.33"/>
        <n v="4920.56"/>
        <n v="9013.03"/>
        <n v="12676.86"/>
        <n v="25409.61"/>
        <n v="16961.28"/>
        <n v="56546.05"/>
        <n v="22073.81"/>
        <n v="19438.97"/>
        <n v="31905.83"/>
        <n v="14146.91"/>
        <n v="11716.04"/>
        <n v="8582.78"/>
        <n v="19266.58"/>
        <n v="-18275.63"/>
        <n v="10631.4"/>
        <n v="8050.17"/>
        <n v="15849.2"/>
        <n v="19724.98"/>
        <n v="21169.37"/>
        <n v="17700.94"/>
        <n v="8503.75"/>
        <n v="23569.5"/>
        <n v="5011.51"/>
        <n v="33462.21"/>
        <n v="31653.81"/>
        <n v="50426.49"/>
        <n v="74351.66"/>
        <n v="28776.79"/>
        <n v="27844.39"/>
        <n v="27284.9"/>
        <n v="48436.88"/>
        <n v="93784.77"/>
        <n v="25943.25"/>
        <n v="0.0"/>
        <n v="13083.66"/>
        <n v="7716.39"/>
        <n v="8210.02"/>
        <n v="16270.3"/>
        <n v="51183.7"/>
        <n v="27241.24"/>
        <n v="112263.8"/>
        <n v="14226.91"/>
        <n v="17504.65"/>
        <n v="66012.94"/>
        <n v="42965.82"/>
        <n v="24325.17"/>
        <n v="23086.45"/>
        <n v="27890.57"/>
        <n v="40450.51"/>
        <n v="24554.33"/>
        <n v="61367.77"/>
        <n v="82144.32"/>
        <n v="7752.2"/>
        <n v="-22593.71"/>
        <n v="11975.67"/>
        <n v="53758.28"/>
        <n v="146162.64"/>
        <n v="8788.04"/>
        <n v="23493.755400000002"/>
        <n v="20443.93"/>
        <n v="108984.86"/>
        <n v="32649.83"/>
        <n v="23296.77"/>
        <n v="9573.22"/>
        <n v="16529.11"/>
        <n v="40701.75"/>
        <n v="27758.72"/>
        <n v="28424.39"/>
        <n v="-3754.08"/>
        <n v="8037.67"/>
        <n v="60051.84"/>
        <n v="13427.73"/>
        <n v="20676.68"/>
        <n v="12140.08"/>
        <n v="17008.34"/>
        <n v="29871.54"/>
        <n v="13107.62"/>
        <n v="136078.17"/>
        <n v="53762.71"/>
        <n v="112888.9"/>
        <n v="40177.69"/>
        <n v="12539.61"/>
        <n v="23903.2"/>
        <n v="27769.27"/>
        <n v="25477.45"/>
        <n v="27473.77"/>
        <n v="17791.76"/>
        <n v="-4785.93"/>
        <n v="-7412.24"/>
        <n v="64742.86"/>
        <n v="19437.26"/>
        <n v="30444.84"/>
        <n v="22027.3"/>
        <n v="23517.94"/>
        <n v="36505.5"/>
        <n v="25684.53"/>
        <n v="61641.47"/>
        <n v="290249.79"/>
        <n v="10493.83"/>
        <n v="22633.46"/>
        <n v="174580.7"/>
        <n v="48794.58"/>
        <n v="24982.9"/>
        <n v="46692.45"/>
        <n v="46071.87"/>
        <n v="28933.3"/>
        <n v="11760.15"/>
        <n v="17298.05"/>
        <n v="102936.49"/>
        <n v="31787.73"/>
        <n v="13044.89"/>
        <n v="12564.15"/>
        <n v="21225.92"/>
        <n v="18007.48"/>
        <n v="18190.84"/>
        <n v="25018.52"/>
        <n v="6757.14"/>
        <n v="17760.3023"/>
        <n v="18492.19"/>
        <n v="26965.24"/>
        <n v="12441.35"/>
        <n v="11786.08"/>
        <n v="24337.06"/>
        <n v="21024.62"/>
        <n v="184909.58"/>
        <n v="23331.38"/>
        <n v="9652.61"/>
        <n v="24941.76"/>
        <n v="19462.11"/>
        <n v="32104.56"/>
        <n v="419050.65"/>
        <n v="12115.03"/>
        <n v="8844.28"/>
        <n v="10536.81"/>
        <n v="8516.34"/>
        <n v="28682.03"/>
        <n v="54510.25"/>
        <n v="24137.83"/>
        <n v="25966.36"/>
        <n v="11782.26"/>
        <n v="20614.11"/>
        <n v="22988.71"/>
        <n v="10279.83"/>
        <n v="7561.43"/>
        <n v="26122.63"/>
        <n v="20306.62"/>
        <n v="18194.23"/>
        <n v="29156.65"/>
        <n v="17937.31"/>
        <n v="11005.39"/>
        <n v="14834.22"/>
        <n v="9330.22"/>
        <n v="15131.57"/>
        <n v="19938.15"/>
        <n v="41722.89"/>
        <n v="90646.1"/>
        <n v="4507.14"/>
        <n v="2368.35"/>
        <n v="194869.55"/>
        <n v="13862.94"/>
        <n v="49175.12"/>
        <n v="14837.5"/>
        <n v="12223.72"/>
        <n v="13352.11"/>
        <n v="49832.06"/>
        <n v="49637.84"/>
        <n v="19165.74"/>
        <n v="99375.27"/>
        <n v="18393.23"/>
        <n v="55473.4"/>
        <n v="22588.04"/>
        <n v="9794.07"/>
        <n v="24341.43"/>
        <n v="23976.26"/>
        <n v="13245.11"/>
        <n v="19965.11"/>
        <n v="19444.95"/>
        <n v="19070.03"/>
        <n v="17926.66"/>
        <n v="29272.484"/>
        <n v="15838.94"/>
        <n v="18545.22"/>
        <n v="12953.72"/>
        <n v="164652.69"/>
        <n v="38292.95"/>
        <n v="38330.02"/>
        <n v="24309.28"/>
        <n v="19254.34"/>
        <n v="15446.25"/>
        <n v="35946.41"/>
        <n v="21243.98"/>
        <n v="13865.56"/>
        <n v="20665.01"/>
        <n v="17075.57"/>
        <n v="18924.37"/>
        <n v="19203.51"/>
        <n v="19848.67"/>
        <n v="29364.92"/>
        <n v="69233.06"/>
        <n v="11262.41"/>
        <n v="13608.24"/>
        <n v="24877.93"/>
        <n v="15079.57"/>
        <n v="5788.2"/>
        <n v="7862.81"/>
        <n v="11058.33"/>
        <n v="26681.01"/>
        <n v="19523.77"/>
        <n v="140449.03"/>
        <n v="14127.64"/>
        <n v="18203.89"/>
        <n v="91533.22"/>
        <n v="16590.010000000002"/>
        <n v="61281.36"/>
        <n v="16767.89"/>
        <n v="59940.33"/>
        <n v="19788.0"/>
        <n v="17575.3"/>
        <n v="125388.27"/>
        <n v="7372.92"/>
        <n v="9191.43"/>
        <n v="18902.87"/>
        <n v="11361.58"/>
        <n v="96557.14"/>
        <n v="16358.22"/>
        <n v="20177.52"/>
        <n v="8087.23"/>
        <n v="13432.56"/>
        <n v="10064.61"/>
        <n v="25347.21"/>
        <n v="22902.05"/>
        <n v="29018.17"/>
        <n v="113088.64"/>
        <n v="11696.26"/>
        <n v="19116.83"/>
        <n v="55844.34"/>
        <n v="195603.28"/>
        <n v="59563.34"/>
        <n v="4909.94"/>
        <n v="18772.62"/>
        <n v="13871.24"/>
        <n v="22503.86"/>
        <n v="28628.82"/>
        <n v="24475.88"/>
        <n v="194695.08"/>
        <n v="14065.33"/>
        <n v="20967.4"/>
        <n v="27452.52"/>
        <n v="46395.5"/>
        <n v="23563.64"/>
        <n v="-16252.41"/>
        <n v="34171.79"/>
        <n v="220412.2"/>
        <n v="19693.47"/>
        <n v="14212.28"/>
        <n v="25745.59"/>
        <n v="9910.91"/>
        <n v="24265.56"/>
        <n v="116296.3"/>
        <n v="12023.83"/>
        <n v="6729.38"/>
        <n v="165591.88"/>
        <n v="27638.76"/>
        <n v="9605.66"/>
        <n v="26540.84"/>
        <n v="15635.53"/>
        <n v="8612.86"/>
        <n v="13484.88"/>
        <n v="41924.74"/>
        <n v="113226.46"/>
        <n v="32005.55"/>
        <n v="19486.69"/>
        <n v="531585.49"/>
        <n v="5970.79"/>
        <n v="7996.18"/>
        <n v="22496.08"/>
        <n v="-6686.72"/>
        <n v="83542.91"/>
        <n v="75751.62"/>
        <n v="18194.73"/>
        <n v="8905.44"/>
        <n v="17949.12"/>
        <n v="37316.33"/>
        <n v="209846.8"/>
        <n v="162179.84"/>
        <n v="129276.49"/>
        <n v="16017.53"/>
        <n v="19390.3"/>
        <n v="28515.08"/>
        <n v="163657.57"/>
        <n v="10367.57"/>
        <n v="15849.72"/>
        <n v="35436.05"/>
        <n v="26178.47"/>
        <n v="11843.51"/>
        <n v="19498.84"/>
        <n v="9885.61"/>
        <n v="22295.38"/>
        <n v="24393.09"/>
        <n v="16743.67"/>
        <n v="42631.05"/>
        <n v="171835.24"/>
        <n v="19543.59"/>
        <n v="19698.32"/>
        <n v="25317.63"/>
        <n v="19485.51"/>
        <n v="7932.02"/>
        <n v="13859.5"/>
        <n v="12370.87"/>
        <n v="9563.6"/>
        <n v="55900.99"/>
        <n v="24503.39"/>
        <n v="22418.56"/>
        <n v="7246.32"/>
        <n v="23418.92"/>
        <n v="28699.41"/>
        <n v="15114.36"/>
        <n v="5219.21"/>
        <n v="26621.42"/>
        <n v="10885.03"/>
        <n v="12123.24"/>
        <n v="117310.86"/>
        <n v="11152.72"/>
        <n v="26371.51"/>
        <n v="22455.63"/>
        <n v="18830.28"/>
        <n v="51631.2"/>
        <n v="12701.28"/>
        <n v="41796.02"/>
        <n v="29031.45"/>
        <n v="-11011.65"/>
        <n v="12844.68"/>
        <n v="11855.51"/>
        <n v="22223.37"/>
        <n v="-46864.82"/>
        <n v="27652.77"/>
        <n v="15813.3"/>
        <n v="9653.12"/>
        <n v="6154.67"/>
        <n v="26560.34"/>
        <n v="4744.35"/>
        <n v="85221.74"/>
        <n v="138943.06"/>
        <n v="161006.46"/>
        <n v="2456.96"/>
        <n v="61644.56"/>
        <n v="38889.63"/>
        <n v="31898.67"/>
        <n v="26242.06"/>
        <n v="88488.85"/>
        <n v="11803.74"/>
        <n v="9571.09"/>
        <n v="23344.58"/>
        <n v="12886.5"/>
        <n v="12822.66"/>
        <n v="93977.54"/>
        <n v="7786.69"/>
        <n v="26624.19"/>
        <n v="49008.37"/>
        <n v="7774.02"/>
        <n v="22349.88"/>
        <n v="63488.13"/>
        <n v="8548.04"/>
        <n v="26847.61"/>
        <n v="37203.14"/>
        <n v="38681.67"/>
        <n v="32976.13"/>
        <n v="137466.01"/>
        <n v="24890.85"/>
        <n v="25132.28"/>
        <n v="5572.58"/>
        <n v="17167.63"/>
        <n v="23781.25"/>
        <n v="497286.26"/>
        <n v="82156.2"/>
        <n v="16053.82"/>
        <n v="12723.46"/>
        <n v="23957.92"/>
        <n v="15008.87"/>
        <n v="21200.87"/>
        <n v="10315.44"/>
        <n v="-10775.08"/>
        <n v="27988.84"/>
        <n v="201136.08"/>
        <n v="36677.71"/>
        <n v="9309.53"/>
        <n v="16705.49"/>
        <n v="-6030.69"/>
        <n v="7157.79"/>
        <n v="15576.89"/>
        <n v="16453.87"/>
        <n v="9252.8"/>
        <n v="25402.24"/>
        <n v="34135.96"/>
        <n v="126901.17"/>
        <n v="11089.07"/>
        <n v="426544.55"/>
        <n v="178611.82"/>
        <n v="9902.32"/>
        <n v="16371.3"/>
        <n v="23763.65"/>
        <n v="15115.3"/>
        <n v="18877.07"/>
        <n v="8100.32"/>
        <n v="26617.95"/>
        <n v="49553.05"/>
        <n v="38970.34"/>
        <n v="492234.64"/>
        <n v="24259.65"/>
        <n v="12779.13"/>
        <n v="44149.16"/>
        <n v="24024.83"/>
        <n v="9567.37"/>
        <n v="192217.56"/>
        <n v="24151.27"/>
        <n v="207904.87"/>
        <n v="130345.27"/>
        <n v="21777.8"/>
        <n v="7136.24"/>
        <n v="83834.87"/>
        <n v="12318.99"/>
        <n v="17690.91"/>
        <n v="87069.96"/>
        <n v="33681.55"/>
        <n v="44052.32"/>
        <n v="150303.33"/>
        <n v="18561.63"/>
        <n v="19192.1"/>
        <n v="6409.59"/>
        <n v="11526.47"/>
        <n v="15847.41"/>
        <n v="27190.14"/>
        <n v="38410.74"/>
        <n v="47916.7"/>
        <n v="216608.07"/>
        <n v="8160.57"/>
        <n v="-9645.64"/>
        <n v="159598.23"/>
        <n v="8178.69"/>
        <n v="30746.2"/>
        <n v="23175.55"/>
        <n v="20736.58"/>
        <n v="32394.1"/>
        <n v="44677.13"/>
        <n v="23256.83"/>
        <n v="18805.7"/>
        <n v="27339.38"/>
        <n v="8480.1"/>
        <n v="9049.3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3:B10" firstHeaderRow="0" firstDataRow="1" firstDataCol="0" rowPageCount="1" colPageCount="1"/>
  <pivotFields>
    <pivotField name="Transac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  <pivotField name="Type" axis="axisPage" compact="0" outline="0" multipleItemSelectionAllowed="1" showAll="0">
      <items>
        <item h="1" x="0"/>
        <item x="1"/>
        <item h="1" x="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Amount (US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  <pivotField name="Currency" compact="0" outline="0" multipleItemSelectionAllowed="1" showAll="0">
      <items>
        <item x="0"/>
        <item x="1"/>
        <item t="default"/>
      </items>
    </pivotField>
    <pivotField name="Rep / Ven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tes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Department_Clean" axis="axisRow" compact="0" outline="0" multipleItemSelectionAllowed="1" showAll="0" sortType="ascending">
      <items>
        <item x="1"/>
        <item x="5"/>
        <item x="4"/>
        <item x="3"/>
        <item x="2"/>
        <item x="0"/>
        <item t="default"/>
      </items>
    </pivotField>
    <pivotField name="Date_Cle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Raw Vari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lean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_Cle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Quarter_Clean" compact="0" outline="0" multipleItemSelectionAllowed="1" showAll="0">
      <items>
        <item x="0"/>
        <item x="1"/>
        <item x="2"/>
        <item x="3"/>
        <item t="default"/>
      </items>
    </pivotField>
    <pivotField name="Amount_Clean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t="default"/>
      </items>
    </pivotField>
  </pivotFields>
  <rowFields>
    <field x="13"/>
  </rowFields>
  <pageFields>
    <pageField fld="2"/>
  </pageFields>
  <dataFields>
    <dataField name="SUM of Amount_Clean_USD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4.0"/>
    <col customWidth="1" min="3" max="3" width="14.75"/>
    <col customWidth="1" min="4" max="5" width="19.25"/>
    <col customWidth="1" min="6" max="6" width="28.0"/>
    <col customWidth="1" min="7" max="7" width="12.25"/>
    <col customWidth="1" min="8" max="8" width="12.13"/>
    <col customWidth="1" min="9" max="9" width="19.25"/>
    <col customWidth="1" min="10" max="11" width="7.0"/>
    <col customWidth="1" min="12" max="12" width="17.5"/>
    <col customWidth="1" min="13" max="13" width="7.63"/>
    <col customWidth="1" min="14" max="14" width="23.88"/>
    <col customWidth="1" min="15" max="15" width="28.5"/>
    <col customWidth="1" min="16" max="16" width="17.25"/>
    <col customWidth="1" min="17" max="17" width="17.0"/>
    <col customWidth="1" min="18" max="18" width="15.38"/>
    <col customWidth="1" min="19" max="20" width="17.88"/>
    <col customWidth="1" min="21" max="24" width="7.63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>
        <v>68037.03</v>
      </c>
      <c r="H2" s="5" t="s">
        <v>26</v>
      </c>
      <c r="I2" s="5" t="s">
        <v>27</v>
      </c>
      <c r="J2" s="5" t="s">
        <v>28</v>
      </c>
      <c r="K2" s="5" t="s">
        <v>29</v>
      </c>
      <c r="L2" s="5"/>
      <c r="N2" s="2" t="str">
        <f t="shared" ref="N2:N523" si="1">IFERROR(VLOOKUP(TRIM(E2),$P$2:$Q$23,2,FALSE),"UNMAPPED - CHECK")</f>
        <v>Sales</v>
      </c>
      <c r="O2" s="6">
        <f>IFERROR(__xludf.DUMMYFUNCTION("IFERROR(
  IF(LEN(TRIM(B2))=6,
    DATE(2000+VALUE(RIGHT(TRIM(B2),2)),MATCH(LEFT(TRIM(B2),3),{""Jan"",""Feb"",""Mar"",""Apr"",""May"",""Jun"",""Jul"",""Aug"",""Sep"",""Oct"",""Nov"",""Dec""},0),15),
  IF(REGEXMATCH(TRIM(B2),""^\d{2}[/-]\d{2}[/-]\d{4}$""),"&amp;"
    DATE(VALUE(RIGHT(TRIM(B2),4)),VALUE(MID(TRIM(B2),4,2)),VALUE(LEFT(TRIM(B2),2))),
  DATEVALUE(TRIM(B2)))),
""CHECK"")"),45300.0)</f>
        <v>45300</v>
      </c>
      <c r="P2" s="3" t="s">
        <v>30</v>
      </c>
      <c r="Q2" s="3" t="s">
        <v>31</v>
      </c>
      <c r="R2" s="2" t="str">
        <f t="shared" ref="R2:R523" si="2">IF(O2="CHECK","CHECK",TEXT(O2,"mmm"))</f>
        <v>Jan</v>
      </c>
      <c r="S2" s="2" t="str">
        <f t="shared" ref="S2:S523" si="3">IF(O2="CHECK","CHECK","Q"&amp;INT((MONTH(O2)-1)/3)+1)</f>
        <v>Q1</v>
      </c>
      <c r="T2" s="2">
        <f t="shared" ref="T2:T523" si="4">IFERROR(IF(G2="see notes",IF(ISNUMBER(VALUE(L2)),VALUE(L2),0),IF(G2="",0,IF(H2="GBP",VALUE(G2)*1.27,IF(AND(ISNUMBER(VALUE(G2)),F2="Revenue",VALUE(G2)&lt;0),ABS(VALUE(G2)),IF(ISNUMBER(VALUE(G2)),VALUE(G2),0))))),0)</f>
        <v>68037.03</v>
      </c>
    </row>
    <row r="3">
      <c r="A3" s="7" t="s">
        <v>32</v>
      </c>
      <c r="B3" s="7" t="s">
        <v>33</v>
      </c>
      <c r="C3" s="7" t="s">
        <v>34</v>
      </c>
      <c r="D3" s="7" t="s">
        <v>31</v>
      </c>
      <c r="E3" s="7" t="s">
        <v>35</v>
      </c>
      <c r="F3" s="7" t="s">
        <v>36</v>
      </c>
      <c r="G3" s="7">
        <v>39375.28</v>
      </c>
      <c r="H3" s="7" t="s">
        <v>26</v>
      </c>
      <c r="I3" s="7" t="s">
        <v>37</v>
      </c>
      <c r="J3" s="7" t="s">
        <v>38</v>
      </c>
      <c r="K3" s="7" t="s">
        <v>39</v>
      </c>
      <c r="L3" s="7"/>
      <c r="N3" s="2" t="str">
        <f t="shared" si="1"/>
        <v>Cloud Infrastructure</v>
      </c>
      <c r="O3" s="6">
        <f>IFERROR(__xludf.DUMMYFUNCTION("IFERROR(
  IF(LEN(TRIM(B3))=6,
    DATE(2000+VALUE(RIGHT(TRIM(B3),2)),MATCH(LEFT(TRIM(B3),3),{""Jan"",""Feb"",""Mar"",""Apr"",""May"",""Jun"",""Jul"",""Aug"",""Sep"",""Oct"",""Nov"",""Dec""},0),15),
  IF(REGEXMATCH(TRIM(B3),""^\d{2}[/-]\d{2}[/-]\d{4}$""),"&amp;"
    DATE(VALUE(RIGHT(TRIM(B3),4)),VALUE(MID(TRIM(B3),4,2)),VALUE(LEFT(TRIM(B3),2))),
  DATEVALUE(TRIM(B3)))),
""CHECK"")"),45651.0)</f>
        <v>45651</v>
      </c>
      <c r="P3" s="3" t="s">
        <v>31</v>
      </c>
      <c r="Q3" s="3" t="s">
        <v>31</v>
      </c>
      <c r="R3" s="2" t="str">
        <f t="shared" si="2"/>
        <v>Dec</v>
      </c>
      <c r="S3" s="2" t="str">
        <f t="shared" si="3"/>
        <v>Q4</v>
      </c>
      <c r="T3" s="2">
        <f t="shared" si="4"/>
        <v>39375.28</v>
      </c>
    </row>
    <row r="4">
      <c r="A4" s="5" t="s">
        <v>40</v>
      </c>
      <c r="B4" s="5" t="s">
        <v>41</v>
      </c>
      <c r="C4" s="5" t="s">
        <v>22</v>
      </c>
      <c r="D4" s="5" t="s">
        <v>23</v>
      </c>
      <c r="E4" s="5" t="s">
        <v>24</v>
      </c>
      <c r="F4" s="5" t="s">
        <v>42</v>
      </c>
      <c r="G4" s="5">
        <v>251866.75</v>
      </c>
      <c r="H4" s="5" t="s">
        <v>26</v>
      </c>
      <c r="I4" s="5" t="s">
        <v>43</v>
      </c>
      <c r="J4" s="5" t="s">
        <v>44</v>
      </c>
      <c r="K4" s="5" t="s">
        <v>29</v>
      </c>
      <c r="L4" s="5"/>
      <c r="N4" s="2" t="str">
        <f t="shared" si="1"/>
        <v>Sales</v>
      </c>
      <c r="O4" s="6">
        <f>IFERROR(__xludf.DUMMYFUNCTION("IFERROR(
  IF(LEN(TRIM(B4))=6,
    DATE(2000+VALUE(RIGHT(TRIM(B4),2)),MATCH(LEFT(TRIM(B4),3),{""Jan"",""Feb"",""Mar"",""Apr"",""May"",""Jun"",""Jul"",""Aug"",""Sep"",""Oct"",""Nov"",""Dec""},0),15),
  IF(REGEXMATCH(TRIM(B4),""^\d{2}[/-]\d{2}[/-]\d{4}$""),"&amp;"
    DATE(VALUE(RIGHT(TRIM(B4),4)),VALUE(MID(TRIM(B4),4,2)),VALUE(LEFT(TRIM(B4),2))),
  DATEVALUE(TRIM(B4)))),
""CHECK"")"),45872.0)</f>
        <v>45872</v>
      </c>
      <c r="P4" s="3" t="s">
        <v>35</v>
      </c>
      <c r="Q4" s="3" t="s">
        <v>31</v>
      </c>
      <c r="R4" s="2" t="str">
        <f t="shared" si="2"/>
        <v>Aug</v>
      </c>
      <c r="S4" s="2" t="str">
        <f t="shared" si="3"/>
        <v>Q3</v>
      </c>
      <c r="T4" s="2">
        <f t="shared" si="4"/>
        <v>251866.75</v>
      </c>
    </row>
    <row r="5">
      <c r="A5" s="7" t="s">
        <v>45</v>
      </c>
      <c r="B5" s="7" t="s">
        <v>46</v>
      </c>
      <c r="C5" s="7" t="s">
        <v>34</v>
      </c>
      <c r="D5" s="7" t="s">
        <v>31</v>
      </c>
      <c r="E5" s="7" t="s">
        <v>30</v>
      </c>
      <c r="F5" s="7" t="s">
        <v>47</v>
      </c>
      <c r="G5" s="7">
        <v>22219.83</v>
      </c>
      <c r="H5" s="7" t="s">
        <v>26</v>
      </c>
      <c r="I5" s="7" t="s">
        <v>48</v>
      </c>
      <c r="J5" s="7" t="s">
        <v>49</v>
      </c>
      <c r="K5" s="7" t="s">
        <v>39</v>
      </c>
      <c r="L5" s="7"/>
      <c r="N5" s="2" t="str">
        <f t="shared" si="1"/>
        <v>Cloud Infrastructure</v>
      </c>
      <c r="O5" s="6">
        <f>IFERROR(__xludf.DUMMYFUNCTION("IFERROR(
  IF(LEN(TRIM(B5))=6,
    DATE(2000+VALUE(RIGHT(TRIM(B5),2)),MATCH(LEFT(TRIM(B5),3),{""Jan"",""Feb"",""Mar"",""Apr"",""May"",""Jun"",""Jul"",""Aug"",""Sep"",""Oct"",""Nov"",""Dec""},0),15),
  IF(REGEXMATCH(TRIM(B5),""^\d{2}[/-]\d{2}[/-]\d{4}$""),"&amp;"
    DATE(VALUE(RIGHT(TRIM(B5),4)),VALUE(MID(TRIM(B5),4,2)),VALUE(LEFT(TRIM(B5),2))),
  DATEVALUE(TRIM(B5)))),
""CHECK"")"),45587.0)</f>
        <v>45587</v>
      </c>
      <c r="P5" s="3" t="s">
        <v>50</v>
      </c>
      <c r="Q5" s="3" t="s">
        <v>51</v>
      </c>
      <c r="R5" s="2" t="str">
        <f t="shared" si="2"/>
        <v>Oct</v>
      </c>
      <c r="S5" s="2" t="str">
        <f t="shared" si="3"/>
        <v>Q4</v>
      </c>
      <c r="T5" s="2">
        <f t="shared" si="4"/>
        <v>22219.83</v>
      </c>
    </row>
    <row r="6">
      <c r="A6" s="5" t="s">
        <v>52</v>
      </c>
      <c r="B6" s="5" t="s">
        <v>53</v>
      </c>
      <c r="C6" s="5" t="s">
        <v>34</v>
      </c>
      <c r="D6" s="5" t="s">
        <v>54</v>
      </c>
      <c r="E6" s="5" t="s">
        <v>55</v>
      </c>
      <c r="F6" s="5" t="s">
        <v>56</v>
      </c>
      <c r="G6" s="5">
        <v>54150.77</v>
      </c>
      <c r="H6" s="5" t="s">
        <v>26</v>
      </c>
      <c r="I6" s="5" t="s">
        <v>57</v>
      </c>
      <c r="J6" s="5" t="s">
        <v>58</v>
      </c>
      <c r="K6" s="5" t="s">
        <v>59</v>
      </c>
      <c r="L6" s="5"/>
      <c r="N6" s="2" t="str">
        <f t="shared" si="1"/>
        <v>Marketing</v>
      </c>
      <c r="O6" s="6">
        <f>IFERROR(__xludf.DUMMYFUNCTION("IFERROR(
  IF(LEN(TRIM(B6))=6,
    DATE(2000+VALUE(RIGHT(TRIM(B6),2)),MATCH(LEFT(TRIM(B6),3),{""Jan"",""Feb"",""Mar"",""Apr"",""May"",""Jun"",""Jul"",""Aug"",""Sep"",""Oct"",""Nov"",""Dec""},0),15),
  IF(REGEXMATCH(TRIM(B6),""^\d{2}[/-]\d{2}[/-]\d{4}$""),"&amp;"
    DATE(VALUE(RIGHT(TRIM(B6),4)),VALUE(MID(TRIM(B6),4,2)),VALUE(LEFT(TRIM(B6),2))),
  DATEVALUE(TRIM(B6)))),
""CHECK"")"),45476.0)</f>
        <v>45476</v>
      </c>
      <c r="P6" s="3" t="s">
        <v>51</v>
      </c>
      <c r="Q6" s="3" t="s">
        <v>51</v>
      </c>
      <c r="R6" s="2" t="str">
        <f t="shared" si="2"/>
        <v>Jul</v>
      </c>
      <c r="S6" s="2" t="str">
        <f t="shared" si="3"/>
        <v>Q3</v>
      </c>
      <c r="T6" s="2">
        <f t="shared" si="4"/>
        <v>54150.77</v>
      </c>
    </row>
    <row r="7">
      <c r="A7" s="7" t="s">
        <v>60</v>
      </c>
      <c r="B7" s="7" t="s">
        <v>61</v>
      </c>
      <c r="C7" s="7" t="s">
        <v>22</v>
      </c>
      <c r="D7" s="7" t="s">
        <v>62</v>
      </c>
      <c r="E7" s="7" t="s">
        <v>63</v>
      </c>
      <c r="F7" s="7" t="s">
        <v>64</v>
      </c>
      <c r="G7" s="7">
        <v>6708.47</v>
      </c>
      <c r="H7" s="7" t="s">
        <v>26</v>
      </c>
      <c r="I7" s="7" t="s">
        <v>65</v>
      </c>
      <c r="J7" s="7" t="s">
        <v>66</v>
      </c>
      <c r="K7" s="7" t="s">
        <v>67</v>
      </c>
      <c r="L7" s="7"/>
      <c r="N7" s="2" t="str">
        <f t="shared" si="1"/>
        <v>Sales</v>
      </c>
      <c r="O7" s="6">
        <f>IFERROR(__xludf.DUMMYFUNCTION("IFERROR(
  IF(LEN(TRIM(B7))=6,
    DATE(2000+VALUE(RIGHT(TRIM(B7),2)),MATCH(LEFT(TRIM(B7),3),{""Jan"",""Feb"",""Mar"",""Apr"",""May"",""Jun"",""Jul"",""Aug"",""Sep"",""Oct"",""Nov"",""Dec""},0),15),
  IF(REGEXMATCH(TRIM(B7),""^\d{2}[/-]\d{2}[/-]\d{4}$""),"&amp;"
    DATE(VALUE(RIGHT(TRIM(B7),4)),VALUE(MID(TRIM(B7),4,2)),VALUE(LEFT(TRIM(B7),2))),
  DATEVALUE(TRIM(B7)))),
""CHECK"")"),45396.0)</f>
        <v>45396</v>
      </c>
      <c r="P7" s="3" t="s">
        <v>68</v>
      </c>
      <c r="Q7" s="3" t="s">
        <v>51</v>
      </c>
      <c r="R7" s="2" t="str">
        <f t="shared" si="2"/>
        <v>Apr</v>
      </c>
      <c r="S7" s="2" t="str">
        <f t="shared" si="3"/>
        <v>Q2</v>
      </c>
      <c r="T7" s="2">
        <f t="shared" si="4"/>
        <v>6708.47</v>
      </c>
    </row>
    <row r="8">
      <c r="A8" s="5" t="s">
        <v>69</v>
      </c>
      <c r="B8" s="5" t="s">
        <v>70</v>
      </c>
      <c r="C8" s="5" t="s">
        <v>22</v>
      </c>
      <c r="D8" s="5" t="s">
        <v>23</v>
      </c>
      <c r="E8" s="5" t="s">
        <v>63</v>
      </c>
      <c r="F8" s="5" t="s">
        <v>71</v>
      </c>
      <c r="G8" s="5">
        <v>149903.37</v>
      </c>
      <c r="H8" s="5" t="s">
        <v>26</v>
      </c>
      <c r="I8" s="5" t="s">
        <v>72</v>
      </c>
      <c r="J8" s="5" t="s">
        <v>73</v>
      </c>
      <c r="K8" s="5" t="s">
        <v>59</v>
      </c>
      <c r="L8" s="5"/>
      <c r="N8" s="2" t="str">
        <f t="shared" si="1"/>
        <v>Sales</v>
      </c>
      <c r="O8" s="6">
        <f>IFERROR(__xludf.DUMMYFUNCTION("IFERROR(
  IF(LEN(TRIM(B8))=6,
    DATE(2000+VALUE(RIGHT(TRIM(B8),2)),MATCH(LEFT(TRIM(B8),3),{""Jan"",""Feb"",""Mar"",""Apr"",""May"",""Jun"",""Jul"",""Aug"",""Sep"",""Oct"",""Nov"",""Dec""},0),15),
  IF(REGEXMATCH(TRIM(B8),""^\d{2}[/-]\d{2}[/-]\d{4}$""),"&amp;"
    DATE(VALUE(RIGHT(TRIM(B8),4)),VALUE(MID(TRIM(B8),4,2)),VALUE(LEFT(TRIM(B8),2))),
  DATEVALUE(TRIM(B8)))),
""CHECK"")"),45550.0)</f>
        <v>45550</v>
      </c>
      <c r="P8" s="3" t="s">
        <v>74</v>
      </c>
      <c r="Q8" s="3" t="s">
        <v>51</v>
      </c>
      <c r="R8" s="2" t="str">
        <f t="shared" si="2"/>
        <v>Sep</v>
      </c>
      <c r="S8" s="2" t="str">
        <f t="shared" si="3"/>
        <v>Q3</v>
      </c>
      <c r="T8" s="2">
        <f t="shared" si="4"/>
        <v>149903.37</v>
      </c>
    </row>
    <row r="9">
      <c r="A9" s="7" t="s">
        <v>75</v>
      </c>
      <c r="B9" s="7" t="s">
        <v>76</v>
      </c>
      <c r="C9" s="7" t="s">
        <v>34</v>
      </c>
      <c r="D9" s="7" t="s">
        <v>31</v>
      </c>
      <c r="E9" s="7" t="s">
        <v>77</v>
      </c>
      <c r="F9" s="7" t="s">
        <v>78</v>
      </c>
      <c r="G9" s="7">
        <v>10013.89</v>
      </c>
      <c r="H9" s="7" t="s">
        <v>79</v>
      </c>
      <c r="I9" s="7" t="s">
        <v>80</v>
      </c>
      <c r="J9" s="7" t="s">
        <v>58</v>
      </c>
      <c r="K9" s="7" t="s">
        <v>59</v>
      </c>
      <c r="L9" s="7"/>
      <c r="N9" s="2" t="str">
        <f t="shared" si="1"/>
        <v>Cloud Infrastructure</v>
      </c>
      <c r="O9" s="6">
        <f>IFERROR(__xludf.DUMMYFUNCTION("IFERROR(
  IF(LEN(TRIM(B9))=6,
    DATE(2000+VALUE(RIGHT(TRIM(B9),2)),MATCH(LEFT(TRIM(B9),3),{""Jan"",""Feb"",""Mar"",""Apr"",""May"",""Jun"",""Jul"",""Aug"",""Sep"",""Oct"",""Nov"",""Dec""},0),15),
  IF(REGEXMATCH(TRIM(B9),""^\d{2}[/-]\d{2}[/-]\d{4}$""),"&amp;"
    DATE(VALUE(RIGHT(TRIM(B9),4)),VALUE(MID(TRIM(B9),4,2)),VALUE(LEFT(TRIM(B9),2))),
  DATEVALUE(TRIM(B9)))),
""CHECK"")"),45907.0)</f>
        <v>45907</v>
      </c>
      <c r="P9" s="3" t="s">
        <v>81</v>
      </c>
      <c r="Q9" s="3" t="s">
        <v>82</v>
      </c>
      <c r="R9" s="2" t="str">
        <f t="shared" si="2"/>
        <v>Sep</v>
      </c>
      <c r="S9" s="2" t="str">
        <f t="shared" si="3"/>
        <v>Q3</v>
      </c>
      <c r="T9" s="2">
        <f t="shared" si="4"/>
        <v>12717.6403</v>
      </c>
    </row>
    <row r="10">
      <c r="A10" s="5" t="s">
        <v>83</v>
      </c>
      <c r="B10" s="5" t="s">
        <v>84</v>
      </c>
      <c r="C10" s="5" t="s">
        <v>22</v>
      </c>
      <c r="D10" s="5" t="s">
        <v>85</v>
      </c>
      <c r="E10" s="5" t="s">
        <v>24</v>
      </c>
      <c r="F10" s="5" t="s">
        <v>86</v>
      </c>
      <c r="G10" s="5">
        <v>21411.91</v>
      </c>
      <c r="H10" s="5" t="s">
        <v>26</v>
      </c>
      <c r="I10" s="5" t="s">
        <v>72</v>
      </c>
      <c r="J10" s="5" t="s">
        <v>87</v>
      </c>
      <c r="K10" s="5" t="s">
        <v>67</v>
      </c>
      <c r="L10" s="5"/>
      <c r="N10" s="2" t="str">
        <f t="shared" si="1"/>
        <v>Sales</v>
      </c>
      <c r="O10" s="6">
        <f>IFERROR(__xludf.DUMMYFUNCTION("IFERROR(
  IF(LEN(TRIM(B10))=6,
    DATE(2000+VALUE(RIGHT(TRIM(B10),2)),MATCH(LEFT(TRIM(B10),3),{""Jan"",""Feb"",""Mar"",""Apr"",""May"",""Jun"",""Jul"",""Aug"",""Sep"",""Oct"",""Nov"",""Dec""},0),15),
  IF(REGEXMATCH(TRIM(B10),""^\d{2}[/-]\d{2}[/-]\d{4}$"&amp;"""),
    DATE(VALUE(RIGHT(TRIM(B10),4)),VALUE(MID(TRIM(B10),4,2)),VALUE(LEFT(TRIM(B10),2))),
  DATEVALUE(TRIM(B10)))),
""CHECK"")"),45422.0)</f>
        <v>45422</v>
      </c>
      <c r="P10" s="3" t="s">
        <v>82</v>
      </c>
      <c r="Q10" s="3" t="s">
        <v>82</v>
      </c>
      <c r="R10" s="2" t="str">
        <f t="shared" si="2"/>
        <v>May</v>
      </c>
      <c r="S10" s="2" t="str">
        <f t="shared" si="3"/>
        <v>Q2</v>
      </c>
      <c r="T10" s="2">
        <f t="shared" si="4"/>
        <v>21411.91</v>
      </c>
    </row>
    <row r="11">
      <c r="A11" s="7" t="s">
        <v>88</v>
      </c>
      <c r="B11" s="7" t="s">
        <v>89</v>
      </c>
      <c r="C11" s="7" t="s">
        <v>34</v>
      </c>
      <c r="D11" s="7" t="s">
        <v>90</v>
      </c>
      <c r="E11" s="7" t="s">
        <v>91</v>
      </c>
      <c r="F11" s="7" t="s">
        <v>92</v>
      </c>
      <c r="G11" s="7">
        <v>9918.62</v>
      </c>
      <c r="H11" s="7" t="s">
        <v>26</v>
      </c>
      <c r="I11" s="7" t="s">
        <v>93</v>
      </c>
      <c r="J11" s="7" t="s">
        <v>73</v>
      </c>
      <c r="K11" s="7" t="s">
        <v>59</v>
      </c>
      <c r="L11" s="7"/>
      <c r="N11" s="2" t="str">
        <f t="shared" si="1"/>
        <v>G&amp;A</v>
      </c>
      <c r="O11" s="6">
        <f>IFERROR(__xludf.DUMMYFUNCTION("IFERROR(
  IF(LEN(TRIM(B11))=6,
    DATE(2000+VALUE(RIGHT(TRIM(B11),2)),MATCH(LEFT(TRIM(B11),3),{""Jan"",""Feb"",""Mar"",""Apr"",""May"",""Jun"",""Jul"",""Aug"",""Sep"",""Oct"",""Nov"",""Dec""},0),15),
  IF(REGEXMATCH(TRIM(B11),""^\d{2}[/-]\d{2}[/-]\d{4}$"&amp;"""),
    DATE(VALUE(RIGHT(TRIM(B11),4)),VALUE(MID(TRIM(B11),4,2)),VALUE(LEFT(TRIM(B11),2))),
  DATEVALUE(TRIM(B11)))),
""CHECK"")"),45550.0)</f>
        <v>45550</v>
      </c>
      <c r="P11" s="3" t="s">
        <v>94</v>
      </c>
      <c r="Q11" s="3" t="s">
        <v>82</v>
      </c>
      <c r="R11" s="2" t="str">
        <f t="shared" si="2"/>
        <v>Sep</v>
      </c>
      <c r="S11" s="2" t="str">
        <f t="shared" si="3"/>
        <v>Q3</v>
      </c>
      <c r="T11" s="2">
        <f t="shared" si="4"/>
        <v>9918.62</v>
      </c>
    </row>
    <row r="12">
      <c r="A12" s="5" t="s">
        <v>95</v>
      </c>
      <c r="B12" s="5" t="s">
        <v>96</v>
      </c>
      <c r="C12" s="5" t="s">
        <v>22</v>
      </c>
      <c r="D12" s="5" t="s">
        <v>62</v>
      </c>
      <c r="E12" s="5" t="s">
        <v>97</v>
      </c>
      <c r="F12" s="5" t="s">
        <v>98</v>
      </c>
      <c r="G12" s="5">
        <v>6750.78</v>
      </c>
      <c r="H12" s="5" t="s">
        <v>26</v>
      </c>
      <c r="I12" s="5" t="s">
        <v>72</v>
      </c>
      <c r="J12" s="5" t="s">
        <v>66</v>
      </c>
      <c r="K12" s="5" t="s">
        <v>67</v>
      </c>
      <c r="L12" s="5"/>
      <c r="N12" s="2" t="str">
        <f t="shared" si="1"/>
        <v>Sales</v>
      </c>
      <c r="O12" s="6">
        <f>IFERROR(__xludf.DUMMYFUNCTION("IFERROR(
  IF(LEN(TRIM(B12))=6,
    DATE(2000+VALUE(RIGHT(TRIM(B12),2)),MATCH(LEFT(TRIM(B12),3),{""Jan"",""Feb"",""Mar"",""Apr"",""May"",""Jun"",""Jul"",""Aug"",""Sep"",""Oct"",""Nov"",""Dec""},0),15),
  IF(REGEXMATCH(TRIM(B12),""^\d{2}[/-]\d{2}[/-]\d{4}$"&amp;"""),
    DATE(VALUE(RIGHT(TRIM(B12),4)),VALUE(MID(TRIM(B12),4,2)),VALUE(LEFT(TRIM(B12),2))),
  DATEVALUE(TRIM(B12)))),
""CHECK"")"),45388.0)</f>
        <v>45388</v>
      </c>
      <c r="P12" s="3" t="s">
        <v>99</v>
      </c>
      <c r="Q12" s="3" t="s">
        <v>82</v>
      </c>
      <c r="R12" s="2" t="str">
        <f t="shared" si="2"/>
        <v>Apr</v>
      </c>
      <c r="S12" s="2" t="str">
        <f t="shared" si="3"/>
        <v>Q2</v>
      </c>
      <c r="T12" s="2">
        <f t="shared" si="4"/>
        <v>6750.78</v>
      </c>
    </row>
    <row r="13">
      <c r="A13" s="7" t="s">
        <v>100</v>
      </c>
      <c r="B13" s="7" t="s">
        <v>101</v>
      </c>
      <c r="C13" s="7" t="s">
        <v>34</v>
      </c>
      <c r="D13" s="7" t="s">
        <v>31</v>
      </c>
      <c r="E13" s="7" t="s">
        <v>77</v>
      </c>
      <c r="F13" s="7" t="s">
        <v>102</v>
      </c>
      <c r="G13" s="7">
        <v>16812.38</v>
      </c>
      <c r="H13" s="7" t="s">
        <v>26</v>
      </c>
      <c r="I13" s="7" t="s">
        <v>103</v>
      </c>
      <c r="J13" s="7" t="s">
        <v>44</v>
      </c>
      <c r="K13" s="7" t="s">
        <v>29</v>
      </c>
      <c r="L13" s="7"/>
      <c r="N13" s="2" t="str">
        <f t="shared" si="1"/>
        <v>Cloud Infrastructure</v>
      </c>
      <c r="O13" s="6">
        <f>IFERROR(__xludf.DUMMYFUNCTION("IFERROR(
  IF(LEN(TRIM(B13))=6,
    DATE(2000+VALUE(RIGHT(TRIM(B13),2)),MATCH(LEFT(TRIM(B13),3),{""Jan"",""Feb"",""Mar"",""Apr"",""May"",""Jun"",""Jul"",""Aug"",""Sep"",""Oct"",""Nov"",""Dec""},0),15),
  IF(REGEXMATCH(TRIM(B13),""^\d{2}[/-]\d{2}[/-]\d{4}$"&amp;"""),
    DATE(VALUE(RIGHT(TRIM(B13),4)),VALUE(MID(TRIM(B13),4,2)),VALUE(LEFT(TRIM(B13),2))),
  DATEVALUE(TRIM(B13)))),
""CHECK"")"),45366.0)</f>
        <v>45366</v>
      </c>
      <c r="P13" s="3" t="s">
        <v>104</v>
      </c>
      <c r="Q13" s="3" t="s">
        <v>90</v>
      </c>
      <c r="R13" s="2" t="str">
        <f t="shared" si="2"/>
        <v>Mar</v>
      </c>
      <c r="S13" s="2" t="str">
        <f t="shared" si="3"/>
        <v>Q1</v>
      </c>
      <c r="T13" s="2">
        <f t="shared" si="4"/>
        <v>16812.38</v>
      </c>
    </row>
    <row r="14">
      <c r="A14" s="5" t="s">
        <v>105</v>
      </c>
      <c r="B14" s="5" t="s">
        <v>106</v>
      </c>
      <c r="C14" s="5" t="s">
        <v>34</v>
      </c>
      <c r="D14" s="5" t="s">
        <v>82</v>
      </c>
      <c r="E14" s="5" t="s">
        <v>81</v>
      </c>
      <c r="F14" s="5" t="s">
        <v>107</v>
      </c>
      <c r="G14" s="5">
        <v>21612.23</v>
      </c>
      <c r="H14" s="5" t="s">
        <v>26</v>
      </c>
      <c r="I14" s="5" t="s">
        <v>37</v>
      </c>
      <c r="J14" s="5" t="s">
        <v>108</v>
      </c>
      <c r="K14" s="5" t="s">
        <v>59</v>
      </c>
      <c r="L14" s="5"/>
      <c r="N14" s="2" t="str">
        <f t="shared" si="1"/>
        <v>Engineering</v>
      </c>
      <c r="O14" s="6">
        <f>IFERROR(__xludf.DUMMYFUNCTION("IFERROR(
  IF(LEN(TRIM(B14))=6,
    DATE(2000+VALUE(RIGHT(TRIM(B14),2)),MATCH(LEFT(TRIM(B14),3),{""Jan"",""Feb"",""Mar"",""Apr"",""May"",""Jun"",""Jul"",""Aug"",""Sep"",""Oct"",""Nov"",""Dec""},0),15),
  IF(REGEXMATCH(TRIM(B14),""^\d{2}[/-]\d{2}[/-]\d{4}$"&amp;"""),
    DATE(VALUE(RIGHT(TRIM(B14),4)),VALUE(MID(TRIM(B14),4,2)),VALUE(LEFT(TRIM(B14),2))),
  DATEVALUE(TRIM(B14)))),
""CHECK"")"),45519.0)</f>
        <v>45519</v>
      </c>
      <c r="P14" s="3" t="s">
        <v>90</v>
      </c>
      <c r="Q14" s="3" t="s">
        <v>90</v>
      </c>
      <c r="R14" s="2" t="str">
        <f t="shared" si="2"/>
        <v>Aug</v>
      </c>
      <c r="S14" s="2" t="str">
        <f t="shared" si="3"/>
        <v>Q3</v>
      </c>
      <c r="T14" s="2">
        <f t="shared" si="4"/>
        <v>21612.23</v>
      </c>
    </row>
    <row r="15">
      <c r="A15" s="7" t="s">
        <v>109</v>
      </c>
      <c r="B15" s="7" t="s">
        <v>110</v>
      </c>
      <c r="C15" s="7" t="s">
        <v>34</v>
      </c>
      <c r="D15" s="7" t="s">
        <v>111</v>
      </c>
      <c r="E15" s="7" t="s">
        <v>111</v>
      </c>
      <c r="F15" s="7" t="s">
        <v>112</v>
      </c>
      <c r="G15" s="7">
        <v>10129.21</v>
      </c>
      <c r="H15" s="7" t="s">
        <v>26</v>
      </c>
      <c r="I15" s="7" t="s">
        <v>57</v>
      </c>
      <c r="J15" s="7" t="s">
        <v>113</v>
      </c>
      <c r="K15" s="7" t="s">
        <v>67</v>
      </c>
      <c r="L15" s="7"/>
      <c r="N15" s="2" t="str">
        <f t="shared" si="1"/>
        <v>Sales</v>
      </c>
      <c r="O15" s="6">
        <f>IFERROR(__xludf.DUMMYFUNCTION("IFERROR(
  IF(LEN(TRIM(B15))=6,
    DATE(2000+VALUE(RIGHT(TRIM(B15),2)),MATCH(LEFT(TRIM(B15),3),{""Jan"",""Feb"",""Mar"",""Apr"",""May"",""Jun"",""Jul"",""Aug"",""Sep"",""Oct"",""Nov"",""Dec""},0),15),
  IF(REGEXMATCH(TRIM(B15),""^\d{2}[/-]\d{2}[/-]\d{4}$"&amp;"""),
    DATE(VALUE(RIGHT(TRIM(B15),4)),VALUE(MID(TRIM(B15),4,2)),VALUE(LEFT(TRIM(B15),2))),
  DATEVALUE(TRIM(B15)))),
""CHECK"")"),45471.0)</f>
        <v>45471</v>
      </c>
      <c r="P15" s="3" t="s">
        <v>114</v>
      </c>
      <c r="Q15" s="3" t="s">
        <v>90</v>
      </c>
      <c r="R15" s="2" t="str">
        <f t="shared" si="2"/>
        <v>Jun</v>
      </c>
      <c r="S15" s="2" t="str">
        <f t="shared" si="3"/>
        <v>Q2</v>
      </c>
      <c r="T15" s="2">
        <f t="shared" si="4"/>
        <v>10129.21</v>
      </c>
    </row>
    <row r="16">
      <c r="A16" s="5" t="s">
        <v>115</v>
      </c>
      <c r="B16" s="5" t="s">
        <v>116</v>
      </c>
      <c r="C16" s="5" t="s">
        <v>34</v>
      </c>
      <c r="D16" s="5" t="s">
        <v>82</v>
      </c>
      <c r="E16" s="5" t="s">
        <v>81</v>
      </c>
      <c r="F16" s="5" t="s">
        <v>117</v>
      </c>
      <c r="G16" s="5">
        <v>32562.8</v>
      </c>
      <c r="H16" s="5" t="s">
        <v>26</v>
      </c>
      <c r="I16" s="5" t="s">
        <v>118</v>
      </c>
      <c r="J16" s="5" t="s">
        <v>73</v>
      </c>
      <c r="K16" s="5" t="s">
        <v>59</v>
      </c>
      <c r="L16" s="5"/>
      <c r="N16" s="2" t="str">
        <f t="shared" si="1"/>
        <v>Engineering</v>
      </c>
      <c r="O16" s="6">
        <f>IFERROR(__xludf.DUMMYFUNCTION("IFERROR(
  IF(LEN(TRIM(B16))=6,
    DATE(2000+VALUE(RIGHT(TRIM(B16),2)),MATCH(LEFT(TRIM(B16),3),{""Jan"",""Feb"",""Mar"",""Apr"",""May"",""Jun"",""Jul"",""Aug"",""Sep"",""Oct"",""Nov"",""Dec""},0),15),
  IF(REGEXMATCH(TRIM(B16),""^\d{2}[/-]\d{2}[/-]\d{4}$"&amp;"""),
    DATE(VALUE(RIGHT(TRIM(B16),4)),VALUE(MID(TRIM(B16),4,2)),VALUE(LEFT(TRIM(B16),2))),
  DATEVALUE(TRIM(B16)))),
""CHECK"")"),45540.0)</f>
        <v>45540</v>
      </c>
      <c r="P16" s="3" t="s">
        <v>91</v>
      </c>
      <c r="Q16" s="3" t="s">
        <v>90</v>
      </c>
      <c r="R16" s="2" t="str">
        <f t="shared" si="2"/>
        <v>Sep</v>
      </c>
      <c r="S16" s="2" t="str">
        <f t="shared" si="3"/>
        <v>Q3</v>
      </c>
      <c r="T16" s="2">
        <f t="shared" si="4"/>
        <v>32562.8</v>
      </c>
    </row>
    <row r="17">
      <c r="A17" s="7" t="s">
        <v>119</v>
      </c>
      <c r="B17" s="7" t="s">
        <v>120</v>
      </c>
      <c r="C17" s="7" t="s">
        <v>34</v>
      </c>
      <c r="D17" s="7" t="s">
        <v>111</v>
      </c>
      <c r="E17" s="7" t="s">
        <v>24</v>
      </c>
      <c r="F17" s="7" t="s">
        <v>121</v>
      </c>
      <c r="G17" s="7">
        <v>24078.44</v>
      </c>
      <c r="H17" s="7" t="s">
        <v>26</v>
      </c>
      <c r="I17" s="7" t="s">
        <v>37</v>
      </c>
      <c r="J17" s="7" t="s">
        <v>58</v>
      </c>
      <c r="K17" s="7" t="s">
        <v>59</v>
      </c>
      <c r="L17" s="7"/>
      <c r="N17" s="2" t="str">
        <f t="shared" si="1"/>
        <v>Sales</v>
      </c>
      <c r="O17" s="6">
        <f>IFERROR(__xludf.DUMMYFUNCTION("IFERROR(
  IF(LEN(TRIM(B17))=6,
    DATE(2000+VALUE(RIGHT(TRIM(B17),2)),MATCH(LEFT(TRIM(B17),3),{""Jan"",""Feb"",""Mar"",""Apr"",""May"",""Jun"",""Jul"",""Aug"",""Sep"",""Oct"",""Nov"",""Dec""},0),15),
  IF(REGEXMATCH(TRIM(B17),""^\d{2}[/-]\d{2}[/-]\d{4}$"&amp;"""),
    DATE(VALUE(RIGHT(TRIM(B17),4)),VALUE(MID(TRIM(B17),4,2)),VALUE(LEFT(TRIM(B17),2))),
  DATEVALUE(TRIM(B17)))),
""CHECK"")"),45475.0)</f>
        <v>45475</v>
      </c>
      <c r="P17" s="3" t="s">
        <v>55</v>
      </c>
      <c r="Q17" s="3" t="s">
        <v>54</v>
      </c>
      <c r="R17" s="2" t="str">
        <f t="shared" si="2"/>
        <v>Jul</v>
      </c>
      <c r="S17" s="2" t="str">
        <f t="shared" si="3"/>
        <v>Q3</v>
      </c>
      <c r="T17" s="2">
        <f t="shared" si="4"/>
        <v>24078.44</v>
      </c>
    </row>
    <row r="18">
      <c r="A18" s="5" t="s">
        <v>122</v>
      </c>
      <c r="B18" s="5" t="s">
        <v>123</v>
      </c>
      <c r="C18" s="5" t="s">
        <v>34</v>
      </c>
      <c r="D18" s="5" t="s">
        <v>54</v>
      </c>
      <c r="E18" s="5" t="s">
        <v>124</v>
      </c>
      <c r="F18" s="5" t="s">
        <v>125</v>
      </c>
      <c r="G18" s="5">
        <v>29097.3</v>
      </c>
      <c r="H18" s="5" t="s">
        <v>26</v>
      </c>
      <c r="I18" s="5" t="s">
        <v>57</v>
      </c>
      <c r="J18" s="5" t="s">
        <v>126</v>
      </c>
      <c r="K18" s="5" t="s">
        <v>29</v>
      </c>
      <c r="L18" s="5"/>
      <c r="N18" s="2" t="str">
        <f t="shared" si="1"/>
        <v>Marketing</v>
      </c>
      <c r="O18" s="6">
        <f>IFERROR(__xludf.DUMMYFUNCTION("IFERROR(
  IF(LEN(TRIM(B18))=6,
    DATE(2000+VALUE(RIGHT(TRIM(B18),2)),MATCH(LEFT(TRIM(B18),3),{""Jan"",""Feb"",""Mar"",""Apr"",""May"",""Jun"",""Jul"",""Aug"",""Sep"",""Oct"",""Nov"",""Dec""},0),15),
  IF(REGEXMATCH(TRIM(B18),""^\d{2}[/-]\d{2}[/-]\d{4}$"&amp;"""),
    DATE(VALUE(RIGHT(TRIM(B18),4)),VALUE(MID(TRIM(B18),4,2)),VALUE(LEFT(TRIM(B18),2))),
  DATEVALUE(TRIM(B18)))),
""CHECK"")"),45871.0)</f>
        <v>45871</v>
      </c>
      <c r="P18" s="3" t="s">
        <v>54</v>
      </c>
      <c r="Q18" s="3" t="s">
        <v>54</v>
      </c>
      <c r="R18" s="2" t="str">
        <f t="shared" si="2"/>
        <v>Aug</v>
      </c>
      <c r="S18" s="2" t="str">
        <f t="shared" si="3"/>
        <v>Q3</v>
      </c>
      <c r="T18" s="2">
        <f t="shared" si="4"/>
        <v>29097.3</v>
      </c>
    </row>
    <row r="19">
      <c r="A19" s="7" t="s">
        <v>127</v>
      </c>
      <c r="B19" s="7" t="s">
        <v>128</v>
      </c>
      <c r="C19" s="7" t="s">
        <v>22</v>
      </c>
      <c r="D19" s="7" t="s">
        <v>23</v>
      </c>
      <c r="E19" s="7" t="s">
        <v>111</v>
      </c>
      <c r="F19" s="7" t="s">
        <v>42</v>
      </c>
      <c r="G19" s="7">
        <v>559559.73</v>
      </c>
      <c r="H19" s="7" t="s">
        <v>26</v>
      </c>
      <c r="I19" s="7" t="s">
        <v>129</v>
      </c>
      <c r="J19" s="7" t="s">
        <v>28</v>
      </c>
      <c r="K19" s="7" t="s">
        <v>29</v>
      </c>
      <c r="L19" s="7"/>
      <c r="N19" s="2" t="str">
        <f t="shared" si="1"/>
        <v>Sales</v>
      </c>
      <c r="O19" s="6">
        <f>IFERROR(__xludf.DUMMYFUNCTION("IFERROR(
  IF(LEN(TRIM(B19))=6,
    DATE(2000+VALUE(RIGHT(TRIM(B19),2)),MATCH(LEFT(TRIM(B19),3),{""Jan"",""Feb"",""Mar"",""Apr"",""May"",""Jun"",""Jul"",""Aug"",""Sep"",""Oct"",""Nov"",""Dec""},0),15),
  IF(REGEXMATCH(TRIM(B19),""^\d{2}[/-]\d{2}[/-]\d{4}$"&amp;"""),
    DATE(VALUE(RIGHT(TRIM(B19),4)),VALUE(MID(TRIM(B19),4,2)),VALUE(LEFT(TRIM(B19),2))),
  DATEVALUE(TRIM(B19)))),
""CHECK"")"),45306.0)</f>
        <v>45306</v>
      </c>
      <c r="P19" s="3" t="s">
        <v>130</v>
      </c>
      <c r="Q19" s="3" t="s">
        <v>54</v>
      </c>
      <c r="R19" s="2" t="str">
        <f t="shared" si="2"/>
        <v>Jan</v>
      </c>
      <c r="S19" s="2" t="str">
        <f t="shared" si="3"/>
        <v>Q1</v>
      </c>
      <c r="T19" s="2">
        <f t="shared" si="4"/>
        <v>559559.73</v>
      </c>
    </row>
    <row r="20">
      <c r="A20" s="5" t="s">
        <v>131</v>
      </c>
      <c r="B20" s="5" t="s">
        <v>132</v>
      </c>
      <c r="C20" s="5" t="s">
        <v>22</v>
      </c>
      <c r="D20" s="5" t="s">
        <v>23</v>
      </c>
      <c r="E20" s="5" t="s">
        <v>63</v>
      </c>
      <c r="F20" s="5" t="s">
        <v>133</v>
      </c>
      <c r="G20" s="5">
        <v>105296.87</v>
      </c>
      <c r="H20" s="5" t="s">
        <v>26</v>
      </c>
      <c r="I20" s="5" t="s">
        <v>134</v>
      </c>
      <c r="J20" s="5" t="s">
        <v>58</v>
      </c>
      <c r="K20" s="5" t="s">
        <v>59</v>
      </c>
      <c r="L20" s="5"/>
      <c r="N20" s="2" t="str">
        <f t="shared" si="1"/>
        <v>Sales</v>
      </c>
      <c r="O20" s="6">
        <f>IFERROR(__xludf.DUMMYFUNCTION("IFERROR(
  IF(LEN(TRIM(B20))=6,
    DATE(2000+VALUE(RIGHT(TRIM(B20),2)),MATCH(LEFT(TRIM(B20),3),{""Jan"",""Feb"",""Mar"",""Apr"",""May"",""Jun"",""Jul"",""Aug"",""Sep"",""Oct"",""Nov"",""Dec""},0),15),
  IF(REGEXMATCH(TRIM(B20),""^\d{2}[/-]\d{2}[/-]\d{4}$"&amp;"""),
    DATE(VALUE(RIGHT(TRIM(B20),4)),VALUE(MID(TRIM(B20),4,2)),VALUE(LEFT(TRIM(B20),2))),
  DATEVALUE(TRIM(B20)))),
""CHECK"")"),45499.0)</f>
        <v>45499</v>
      </c>
      <c r="P20" s="3" t="s">
        <v>124</v>
      </c>
      <c r="Q20" s="3" t="s">
        <v>54</v>
      </c>
      <c r="R20" s="2" t="str">
        <f t="shared" si="2"/>
        <v>Jul</v>
      </c>
      <c r="S20" s="2" t="str">
        <f t="shared" si="3"/>
        <v>Q3</v>
      </c>
      <c r="T20" s="2">
        <f t="shared" si="4"/>
        <v>105296.87</v>
      </c>
    </row>
    <row r="21">
      <c r="A21" s="7" t="s">
        <v>135</v>
      </c>
      <c r="B21" s="7" t="s">
        <v>136</v>
      </c>
      <c r="C21" s="7" t="s">
        <v>22</v>
      </c>
      <c r="D21" s="7" t="s">
        <v>23</v>
      </c>
      <c r="E21" s="7" t="s">
        <v>63</v>
      </c>
      <c r="F21" s="7" t="s">
        <v>71</v>
      </c>
      <c r="G21" s="7">
        <v>138733.49</v>
      </c>
      <c r="H21" s="7" t="s">
        <v>26</v>
      </c>
      <c r="I21" s="7" t="s">
        <v>137</v>
      </c>
      <c r="J21" s="7" t="s">
        <v>58</v>
      </c>
      <c r="K21" s="7" t="s">
        <v>59</v>
      </c>
      <c r="L21" s="7"/>
      <c r="N21" s="2" t="str">
        <f t="shared" si="1"/>
        <v>Sales</v>
      </c>
      <c r="O21" s="6">
        <f>IFERROR(__xludf.DUMMYFUNCTION("IFERROR(
  IF(LEN(TRIM(B21))=6,
    DATE(2000+VALUE(RIGHT(TRIM(B21),2)),MATCH(LEFT(TRIM(B21),3),{""Jan"",""Feb"",""Mar"",""Apr"",""May"",""Jun"",""Jul"",""Aug"",""Sep"",""Oct"",""Nov"",""Dec""},0),15),
  IF(REGEXMATCH(TRIM(B21),""^\d{2}[/-]\d{2}[/-]\d{4}$"&amp;"""),
    DATE(VALUE(RIGHT(TRIM(B21),4)),VALUE(MID(TRIM(B21),4,2)),VALUE(LEFT(TRIM(B21),2))),
  DATEVALUE(TRIM(B21)))),
""CHECK"")"),45479.0)</f>
        <v>45479</v>
      </c>
      <c r="P21" s="3" t="s">
        <v>63</v>
      </c>
      <c r="Q21" s="3" t="s">
        <v>111</v>
      </c>
      <c r="R21" s="2" t="str">
        <f t="shared" si="2"/>
        <v>Jul</v>
      </c>
      <c r="S21" s="2" t="str">
        <f t="shared" si="3"/>
        <v>Q3</v>
      </c>
      <c r="T21" s="2">
        <f t="shared" si="4"/>
        <v>138733.49</v>
      </c>
    </row>
    <row r="22">
      <c r="A22" s="5" t="s">
        <v>138</v>
      </c>
      <c r="B22" s="5" t="s">
        <v>139</v>
      </c>
      <c r="C22" s="5" t="s">
        <v>34</v>
      </c>
      <c r="D22" s="5" t="s">
        <v>31</v>
      </c>
      <c r="E22" s="5" t="s">
        <v>35</v>
      </c>
      <c r="F22" s="5" t="s">
        <v>140</v>
      </c>
      <c r="G22" s="5">
        <v>33435.12</v>
      </c>
      <c r="H22" s="5" t="s">
        <v>26</v>
      </c>
      <c r="I22" s="5" t="s">
        <v>141</v>
      </c>
      <c r="J22" s="5" t="s">
        <v>142</v>
      </c>
      <c r="K22" s="5" t="s">
        <v>39</v>
      </c>
      <c r="L22" s="5"/>
      <c r="N22" s="2" t="str">
        <f t="shared" si="1"/>
        <v>Cloud Infrastructure</v>
      </c>
      <c r="O22" s="6">
        <f>IFERROR(__xludf.DUMMYFUNCTION("IFERROR(
  IF(LEN(TRIM(B22))=6,
    DATE(2000+VALUE(RIGHT(TRIM(B22),2)),MATCH(LEFT(TRIM(B22),3),{""Jan"",""Feb"",""Mar"",""Apr"",""May"",""Jun"",""Jul"",""Aug"",""Sep"",""Oct"",""Nov"",""Dec""},0),15),
  IF(REGEXMATCH(TRIM(B22),""^\d{2}[/-]\d{2}[/-]\d{4}$"&amp;"""),
    DATE(VALUE(RIGHT(TRIM(B22),4)),VALUE(MID(TRIM(B22),4,2)),VALUE(LEFT(TRIM(B22),2))),
  DATEVALUE(TRIM(B22)))),
""CHECK"")"),45619.0)</f>
        <v>45619</v>
      </c>
      <c r="P22" s="3" t="s">
        <v>24</v>
      </c>
      <c r="Q22" s="3" t="s">
        <v>111</v>
      </c>
      <c r="R22" s="2" t="str">
        <f t="shared" si="2"/>
        <v>Nov</v>
      </c>
      <c r="S22" s="2" t="str">
        <f t="shared" si="3"/>
        <v>Q4</v>
      </c>
      <c r="T22" s="2">
        <f t="shared" si="4"/>
        <v>33435.12</v>
      </c>
    </row>
    <row r="23">
      <c r="A23" s="7" t="s">
        <v>143</v>
      </c>
      <c r="B23" s="7" t="s">
        <v>144</v>
      </c>
      <c r="C23" s="7" t="s">
        <v>34</v>
      </c>
      <c r="D23" s="7" t="s">
        <v>31</v>
      </c>
      <c r="E23" s="7" t="s">
        <v>145</v>
      </c>
      <c r="F23" s="7" t="s">
        <v>146</v>
      </c>
      <c r="G23" s="7">
        <v>18638.21</v>
      </c>
      <c r="H23" s="7" t="s">
        <v>26</v>
      </c>
      <c r="I23" s="7" t="s">
        <v>147</v>
      </c>
      <c r="J23" s="7" t="s">
        <v>73</v>
      </c>
      <c r="K23" s="7" t="s">
        <v>59</v>
      </c>
      <c r="L23" s="7"/>
      <c r="N23" s="2" t="str">
        <f t="shared" si="1"/>
        <v>Cloud Infrastructure</v>
      </c>
      <c r="O23" s="6">
        <f>IFERROR(__xludf.DUMMYFUNCTION("IFERROR(
  IF(LEN(TRIM(B23))=6,
    DATE(2000+VALUE(RIGHT(TRIM(B23),2)),MATCH(LEFT(TRIM(B23),3),{""Jan"",""Feb"",""Mar"",""Apr"",""May"",""Jun"",""Jul"",""Aug"",""Sep"",""Oct"",""Nov"",""Dec""},0),15),
  IF(REGEXMATCH(TRIM(B23),""^\d{2}[/-]\d{2}[/-]\d{4}$"&amp;"""),
    DATE(VALUE(RIGHT(TRIM(B23),4)),VALUE(MID(TRIM(B23),4,2)),VALUE(LEFT(TRIM(B23),2))),
  DATEVALUE(TRIM(B23)))),
""CHECK"")"),45970.0)</f>
        <v>45970</v>
      </c>
      <c r="P23" s="3" t="s">
        <v>111</v>
      </c>
      <c r="Q23" s="3" t="s">
        <v>111</v>
      </c>
      <c r="R23" s="2" t="str">
        <f t="shared" si="2"/>
        <v>Nov</v>
      </c>
      <c r="S23" s="2" t="str">
        <f t="shared" si="3"/>
        <v>Q4</v>
      </c>
      <c r="T23" s="2">
        <f t="shared" si="4"/>
        <v>18638.21</v>
      </c>
    </row>
    <row r="24">
      <c r="A24" s="5" t="s">
        <v>148</v>
      </c>
      <c r="B24" s="5" t="s">
        <v>149</v>
      </c>
      <c r="C24" s="5" t="s">
        <v>22</v>
      </c>
      <c r="D24" s="5" t="s">
        <v>23</v>
      </c>
      <c r="E24" s="5" t="s">
        <v>97</v>
      </c>
      <c r="F24" s="5" t="s">
        <v>133</v>
      </c>
      <c r="G24" s="5">
        <v>90215.59</v>
      </c>
      <c r="H24" s="5" t="s">
        <v>26</v>
      </c>
      <c r="I24" s="5" t="s">
        <v>137</v>
      </c>
      <c r="J24" s="5" t="s">
        <v>49</v>
      </c>
      <c r="K24" s="5" t="s">
        <v>39</v>
      </c>
      <c r="L24" s="5"/>
      <c r="N24" s="2" t="str">
        <f t="shared" si="1"/>
        <v>Sales</v>
      </c>
      <c r="O24" s="6">
        <f>IFERROR(__xludf.DUMMYFUNCTION("IFERROR(
  IF(LEN(TRIM(B24))=6,
    DATE(2000+VALUE(RIGHT(TRIM(B24),2)),MATCH(LEFT(TRIM(B24),3),{""Jan"",""Feb"",""Mar"",""Apr"",""May"",""Jun"",""Jul"",""Aug"",""Sep"",""Oct"",""Nov"",""Dec""},0),15),
  IF(REGEXMATCH(TRIM(B24),""^\d{2}[/-]\d{2}[/-]\d{4}$"&amp;"""),
    DATE(VALUE(RIGHT(TRIM(B24),4)),VALUE(MID(TRIM(B24),4,2)),VALUE(LEFT(TRIM(B24),2))),
  DATEVALUE(TRIM(B24)))),
""CHECK"")"),45575.0)</f>
        <v>45575</v>
      </c>
      <c r="R24" s="2" t="str">
        <f t="shared" si="2"/>
        <v>Oct</v>
      </c>
      <c r="S24" s="2" t="str">
        <f t="shared" si="3"/>
        <v>Q4</v>
      </c>
      <c r="T24" s="2">
        <f t="shared" si="4"/>
        <v>90215.59</v>
      </c>
    </row>
    <row r="25">
      <c r="A25" s="7" t="s">
        <v>150</v>
      </c>
      <c r="B25" s="7" t="s">
        <v>151</v>
      </c>
      <c r="C25" s="7" t="s">
        <v>22</v>
      </c>
      <c r="D25" s="7" t="s">
        <v>62</v>
      </c>
      <c r="E25" s="7" t="s">
        <v>111</v>
      </c>
      <c r="F25" s="7" t="s">
        <v>152</v>
      </c>
      <c r="G25" s="7">
        <v>7490.67</v>
      </c>
      <c r="H25" s="7" t="s">
        <v>26</v>
      </c>
      <c r="I25" s="7" t="s">
        <v>134</v>
      </c>
      <c r="J25" s="7" t="s">
        <v>49</v>
      </c>
      <c r="K25" s="7" t="s">
        <v>39</v>
      </c>
      <c r="L25" s="7"/>
      <c r="N25" s="2" t="str">
        <f t="shared" si="1"/>
        <v>Sales</v>
      </c>
      <c r="O25" s="6">
        <f>IFERROR(__xludf.DUMMYFUNCTION("IFERROR(
  IF(LEN(TRIM(B25))=6,
    DATE(2000+VALUE(RIGHT(TRIM(B25),2)),MATCH(LEFT(TRIM(B25),3),{""Jan"",""Feb"",""Mar"",""Apr"",""May"",""Jun"",""Jul"",""Aug"",""Sep"",""Oct"",""Nov"",""Dec""},0),15),
  IF(REGEXMATCH(TRIM(B25),""^\d{2}[/-]\d{2}[/-]\d{4}$"&amp;"""),
    DATE(VALUE(RIGHT(TRIM(B25),4)),VALUE(MID(TRIM(B25),4,2)),VALUE(LEFT(TRIM(B25),2))),
  DATEVALUE(TRIM(B25)))),
""CHECK"")"),45578.0)</f>
        <v>45578</v>
      </c>
      <c r="R25" s="2" t="str">
        <f t="shared" si="2"/>
        <v>Oct</v>
      </c>
      <c r="S25" s="2" t="str">
        <f t="shared" si="3"/>
        <v>Q4</v>
      </c>
      <c r="T25" s="2">
        <f t="shared" si="4"/>
        <v>7490.67</v>
      </c>
    </row>
    <row r="26">
      <c r="A26" s="5" t="s">
        <v>153</v>
      </c>
      <c r="B26" s="5" t="s">
        <v>154</v>
      </c>
      <c r="C26" s="5" t="s">
        <v>34</v>
      </c>
      <c r="D26" s="5" t="s">
        <v>82</v>
      </c>
      <c r="E26" s="5" t="s">
        <v>94</v>
      </c>
      <c r="F26" s="5" t="s">
        <v>155</v>
      </c>
      <c r="G26" s="5">
        <v>26135.97</v>
      </c>
      <c r="H26" s="5" t="s">
        <v>26</v>
      </c>
      <c r="I26" s="5" t="s">
        <v>141</v>
      </c>
      <c r="J26" s="5" t="s">
        <v>58</v>
      </c>
      <c r="K26" s="5" t="s">
        <v>59</v>
      </c>
      <c r="L26" s="5"/>
      <c r="N26" s="2" t="str">
        <f t="shared" si="1"/>
        <v>Engineering</v>
      </c>
      <c r="O26" s="6">
        <f>IFERROR(__xludf.DUMMYFUNCTION("IFERROR(
  IF(LEN(TRIM(B26))=6,
    DATE(2000+VALUE(RIGHT(TRIM(B26),2)),MATCH(LEFT(TRIM(B26),3),{""Jan"",""Feb"",""Mar"",""Apr"",""May"",""Jun"",""Jul"",""Aug"",""Sep"",""Oct"",""Nov"",""Dec""},0),15),
  IF(REGEXMATCH(TRIM(B26),""^\d{2}[/-]\d{2}[/-]\d{4}$"&amp;"""),
    DATE(VALUE(RIGHT(TRIM(B26),4)),VALUE(MID(TRIM(B26),4,2)),VALUE(LEFT(TRIM(B26),2))),
  DATEVALUE(TRIM(B26)))),
""CHECK"")"),45499.0)</f>
        <v>45499</v>
      </c>
      <c r="R26" s="2" t="str">
        <f t="shared" si="2"/>
        <v>Jul</v>
      </c>
      <c r="S26" s="2" t="str">
        <f t="shared" si="3"/>
        <v>Q3</v>
      </c>
      <c r="T26" s="2">
        <f t="shared" si="4"/>
        <v>26135.97</v>
      </c>
    </row>
    <row r="27">
      <c r="A27" s="7" t="s">
        <v>156</v>
      </c>
      <c r="B27" s="7" t="s">
        <v>157</v>
      </c>
      <c r="C27" s="7" t="s">
        <v>34</v>
      </c>
      <c r="D27" s="7" t="s">
        <v>90</v>
      </c>
      <c r="E27" s="7" t="s">
        <v>90</v>
      </c>
      <c r="F27" s="7" t="s">
        <v>158</v>
      </c>
      <c r="G27" s="7">
        <v>12105.45</v>
      </c>
      <c r="H27" s="7" t="s">
        <v>26</v>
      </c>
      <c r="I27" s="7" t="s">
        <v>37</v>
      </c>
      <c r="J27" s="7" t="s">
        <v>87</v>
      </c>
      <c r="K27" s="7" t="s">
        <v>67</v>
      </c>
      <c r="L27" s="7"/>
      <c r="N27" s="2" t="str">
        <f t="shared" si="1"/>
        <v>G&amp;A</v>
      </c>
      <c r="O27" s="6">
        <f>IFERROR(__xludf.DUMMYFUNCTION("IFERROR(
  IF(LEN(TRIM(B27))=6,
    DATE(2000+VALUE(RIGHT(TRIM(B27),2)),MATCH(LEFT(TRIM(B27),3),{""Jan"",""Feb"",""Mar"",""Apr"",""May"",""Jun"",""Jul"",""Aug"",""Sep"",""Oct"",""Nov"",""Dec""},0),15),
  IF(REGEXMATCH(TRIM(B27),""^\d{2}[/-]\d{2}[/-]\d{4}$"&amp;"""),
    DATE(VALUE(RIGHT(TRIM(B27),4)),VALUE(MID(TRIM(B27),4,2)),VALUE(LEFT(TRIM(B27),2))),
  DATEVALUE(TRIM(B27)))),
""CHECK"")"),45426.0)</f>
        <v>45426</v>
      </c>
      <c r="R27" s="2" t="str">
        <f t="shared" si="2"/>
        <v>May</v>
      </c>
      <c r="S27" s="2" t="str">
        <f t="shared" si="3"/>
        <v>Q2</v>
      </c>
      <c r="T27" s="2">
        <f t="shared" si="4"/>
        <v>12105.45</v>
      </c>
    </row>
    <row r="28">
      <c r="A28" s="5" t="s">
        <v>159</v>
      </c>
      <c r="B28" s="5" t="s">
        <v>160</v>
      </c>
      <c r="C28" s="5" t="s">
        <v>34</v>
      </c>
      <c r="D28" s="5" t="s">
        <v>31</v>
      </c>
      <c r="E28" s="5" t="s">
        <v>31</v>
      </c>
      <c r="F28" s="5" t="s">
        <v>161</v>
      </c>
      <c r="G28" s="5">
        <v>24138.1</v>
      </c>
      <c r="H28" s="5" t="s">
        <v>26</v>
      </c>
      <c r="I28" s="5" t="s">
        <v>103</v>
      </c>
      <c r="J28" s="5" t="s">
        <v>87</v>
      </c>
      <c r="K28" s="5" t="s">
        <v>67</v>
      </c>
      <c r="L28" s="5"/>
      <c r="N28" s="2" t="str">
        <f t="shared" si="1"/>
        <v>Cloud Infrastructure</v>
      </c>
      <c r="O28" s="6">
        <f>IFERROR(__xludf.DUMMYFUNCTION("IFERROR(
  IF(LEN(TRIM(B28))=6,
    DATE(2000+VALUE(RIGHT(TRIM(B28),2)),MATCH(LEFT(TRIM(B28),3),{""Jan"",""Feb"",""Mar"",""Apr"",""May"",""Jun"",""Jul"",""Aug"",""Sep"",""Oct"",""Nov"",""Dec""},0),15),
  IF(REGEXMATCH(TRIM(B28),""^\d{2}[/-]\d{2}[/-]\d{4}$"&amp;"""),
    DATE(VALUE(RIGHT(TRIM(B28),4)),VALUE(MID(TRIM(B28),4,2)),VALUE(LEFT(TRIM(B28),2))),
  DATEVALUE(TRIM(B28)))),
""CHECK"")"),45434.0)</f>
        <v>45434</v>
      </c>
      <c r="R28" s="2" t="str">
        <f t="shared" si="2"/>
        <v>May</v>
      </c>
      <c r="S28" s="2" t="str">
        <f t="shared" si="3"/>
        <v>Q2</v>
      </c>
      <c r="T28" s="2">
        <f t="shared" si="4"/>
        <v>24138.1</v>
      </c>
    </row>
    <row r="29">
      <c r="A29" s="7" t="s">
        <v>162</v>
      </c>
      <c r="B29" s="7" t="s">
        <v>163</v>
      </c>
      <c r="C29" s="7" t="s">
        <v>22</v>
      </c>
      <c r="D29" s="7" t="s">
        <v>85</v>
      </c>
      <c r="E29" s="7" t="s">
        <v>97</v>
      </c>
      <c r="F29" s="7" t="s">
        <v>164</v>
      </c>
      <c r="G29" s="7">
        <v>20871.91</v>
      </c>
      <c r="H29" s="7" t="s">
        <v>26</v>
      </c>
      <c r="I29" s="7" t="s">
        <v>72</v>
      </c>
      <c r="J29" s="7" t="s">
        <v>126</v>
      </c>
      <c r="K29" s="7" t="s">
        <v>29</v>
      </c>
      <c r="L29" s="7"/>
      <c r="N29" s="2" t="str">
        <f t="shared" si="1"/>
        <v>Sales</v>
      </c>
      <c r="O29" s="6">
        <f>IFERROR(__xludf.DUMMYFUNCTION("IFERROR(
  IF(LEN(TRIM(B29))=6,
    DATE(2000+VALUE(RIGHT(TRIM(B29),2)),MATCH(LEFT(TRIM(B29),3),{""Jan"",""Feb"",""Mar"",""Apr"",""May"",""Jun"",""Jul"",""Aug"",""Sep"",""Oct"",""Nov"",""Dec""},0),15),
  IF(REGEXMATCH(TRIM(B29),""^\d{2}[/-]\d{2}[/-]\d{4}$"&amp;"""),
    DATE(VALUE(RIGHT(TRIM(B29),4)),VALUE(MID(TRIM(B29),4,2)),VALUE(LEFT(TRIM(B29),2))),
  DATEVALUE(TRIM(B29)))),
""CHECK"")"),45327.0)</f>
        <v>45327</v>
      </c>
      <c r="R29" s="2" t="str">
        <f t="shared" si="2"/>
        <v>Feb</v>
      </c>
      <c r="S29" s="2" t="str">
        <f t="shared" si="3"/>
        <v>Q1</v>
      </c>
      <c r="T29" s="2">
        <f t="shared" si="4"/>
        <v>20871.91</v>
      </c>
    </row>
    <row r="30">
      <c r="A30" s="5" t="s">
        <v>165</v>
      </c>
      <c r="B30" s="5" t="s">
        <v>166</v>
      </c>
      <c r="C30" s="5" t="s">
        <v>34</v>
      </c>
      <c r="D30" s="5" t="s">
        <v>31</v>
      </c>
      <c r="E30" s="5" t="s">
        <v>35</v>
      </c>
      <c r="F30" s="5" t="s">
        <v>167</v>
      </c>
      <c r="G30" s="5">
        <v>37997.96</v>
      </c>
      <c r="H30" s="5" t="s">
        <v>26</v>
      </c>
      <c r="I30" s="5" t="s">
        <v>168</v>
      </c>
      <c r="J30" s="5" t="s">
        <v>38</v>
      </c>
      <c r="K30" s="5" t="s">
        <v>39</v>
      </c>
      <c r="L30" s="5"/>
      <c r="N30" s="2" t="str">
        <f t="shared" si="1"/>
        <v>Cloud Infrastructure</v>
      </c>
      <c r="O30" s="6">
        <f>IFERROR(__xludf.DUMMYFUNCTION("IFERROR(
  IF(LEN(TRIM(B30))=6,
    DATE(2000+VALUE(RIGHT(TRIM(B30),2)),MATCH(LEFT(TRIM(B30),3),{""Jan"",""Feb"",""Mar"",""Apr"",""May"",""Jun"",""Jul"",""Aug"",""Sep"",""Oct"",""Nov"",""Dec""},0),15),
  IF(REGEXMATCH(TRIM(B30),""^\d{2}[/-]\d{2}[/-]\d{4}$"&amp;"""),
    DATE(VALUE(RIGHT(TRIM(B30),4)),VALUE(MID(TRIM(B30),4,2)),VALUE(LEFT(TRIM(B30),2))),
  DATEVALUE(TRIM(B30)))),
""CHECK"")"),45424.0)</f>
        <v>45424</v>
      </c>
      <c r="R30" s="2" t="str">
        <f t="shared" si="2"/>
        <v>May</v>
      </c>
      <c r="S30" s="2" t="str">
        <f t="shared" si="3"/>
        <v>Q2</v>
      </c>
      <c r="T30" s="2">
        <f t="shared" si="4"/>
        <v>37997.96</v>
      </c>
    </row>
    <row r="31">
      <c r="A31" s="7" t="s">
        <v>169</v>
      </c>
      <c r="B31" s="7" t="s">
        <v>170</v>
      </c>
      <c r="C31" s="7" t="s">
        <v>34</v>
      </c>
      <c r="D31" s="7" t="s">
        <v>51</v>
      </c>
      <c r="E31" s="7" t="s">
        <v>68</v>
      </c>
      <c r="F31" s="7" t="s">
        <v>171</v>
      </c>
      <c r="G31" s="7">
        <v>22421.75</v>
      </c>
      <c r="H31" s="7" t="s">
        <v>26</v>
      </c>
      <c r="I31" s="7" t="s">
        <v>103</v>
      </c>
      <c r="J31" s="7" t="s">
        <v>44</v>
      </c>
      <c r="K31" s="7" t="s">
        <v>29</v>
      </c>
      <c r="L31" s="7"/>
      <c r="N31" s="2" t="str">
        <f t="shared" si="1"/>
        <v>Customer Success</v>
      </c>
      <c r="O31" s="6">
        <f>IFERROR(__xludf.DUMMYFUNCTION("IFERROR(
  IF(LEN(TRIM(B31))=6,
    DATE(2000+VALUE(RIGHT(TRIM(B31),2)),MATCH(LEFT(TRIM(B31),3),{""Jan"",""Feb"",""Mar"",""Apr"",""May"",""Jun"",""Jul"",""Aug"",""Sep"",""Oct"",""Nov"",""Dec""},0),15),
  IF(REGEXMATCH(TRIM(B31),""^\d{2}[/-]\d{2}[/-]\d{4}$"&amp;"""),
    DATE(VALUE(RIGHT(TRIM(B31),4)),VALUE(MID(TRIM(B31),4,2)),VALUE(LEFT(TRIM(B31),2))),
  DATEVALUE(TRIM(B31)))),
""CHECK"")"),45376.0)</f>
        <v>45376</v>
      </c>
      <c r="R31" s="2" t="str">
        <f t="shared" si="2"/>
        <v>Mar</v>
      </c>
      <c r="S31" s="2" t="str">
        <f t="shared" si="3"/>
        <v>Q1</v>
      </c>
      <c r="T31" s="2">
        <f t="shared" si="4"/>
        <v>22421.75</v>
      </c>
    </row>
    <row r="32">
      <c r="A32" s="5" t="s">
        <v>172</v>
      </c>
      <c r="B32" s="5" t="s">
        <v>173</v>
      </c>
      <c r="C32" s="5" t="s">
        <v>34</v>
      </c>
      <c r="D32" s="5" t="s">
        <v>51</v>
      </c>
      <c r="E32" s="5" t="s">
        <v>50</v>
      </c>
      <c r="F32" s="5" t="s">
        <v>174</v>
      </c>
      <c r="G32" s="5">
        <v>12571.55</v>
      </c>
      <c r="H32" s="5" t="s">
        <v>26</v>
      </c>
      <c r="I32" s="5" t="s">
        <v>118</v>
      </c>
      <c r="J32" s="5" t="s">
        <v>108</v>
      </c>
      <c r="K32" s="5" t="s">
        <v>59</v>
      </c>
      <c r="L32" s="5"/>
      <c r="N32" s="2" t="str">
        <f t="shared" si="1"/>
        <v>Customer Success</v>
      </c>
      <c r="O32" s="6">
        <f>IFERROR(__xludf.DUMMYFUNCTION("IFERROR(
  IF(LEN(TRIM(B32))=6,
    DATE(2000+VALUE(RIGHT(TRIM(B32),2)),MATCH(LEFT(TRIM(B32),3),{""Jan"",""Feb"",""Mar"",""Apr"",""May"",""Jun"",""Jul"",""Aug"",""Sep"",""Oct"",""Nov"",""Dec""},0),15),
  IF(REGEXMATCH(TRIM(B32),""^\d{2}[/-]\d{2}[/-]\d{4}$"&amp;"""),
    DATE(VALUE(RIGHT(TRIM(B32),4)),VALUE(MID(TRIM(B32),4,2)),VALUE(LEFT(TRIM(B32),2))),
  DATEVALUE(TRIM(B32)))),
""CHECK"")"),45512.0)</f>
        <v>45512</v>
      </c>
      <c r="R32" s="2" t="str">
        <f t="shared" si="2"/>
        <v>Aug</v>
      </c>
      <c r="S32" s="2" t="str">
        <f t="shared" si="3"/>
        <v>Q3</v>
      </c>
      <c r="T32" s="2">
        <f t="shared" si="4"/>
        <v>12571.55</v>
      </c>
    </row>
    <row r="33">
      <c r="A33" s="7" t="s">
        <v>175</v>
      </c>
      <c r="B33" s="7" t="s">
        <v>176</v>
      </c>
      <c r="C33" s="7" t="s">
        <v>34</v>
      </c>
      <c r="D33" s="7" t="s">
        <v>90</v>
      </c>
      <c r="E33" s="7" t="s">
        <v>114</v>
      </c>
      <c r="F33" s="7" t="s">
        <v>177</v>
      </c>
      <c r="G33" s="7">
        <v>12219.14</v>
      </c>
      <c r="H33" s="7" t="s">
        <v>26</v>
      </c>
      <c r="I33" s="7" t="s">
        <v>93</v>
      </c>
      <c r="J33" s="7" t="s">
        <v>28</v>
      </c>
      <c r="K33" s="7" t="s">
        <v>29</v>
      </c>
      <c r="L33" s="7"/>
      <c r="N33" s="2" t="str">
        <f t="shared" si="1"/>
        <v>G&amp;A</v>
      </c>
      <c r="O33" s="6">
        <f>IFERROR(__xludf.DUMMYFUNCTION("IFERROR(
  IF(LEN(TRIM(B33))=6,
    DATE(2000+VALUE(RIGHT(TRIM(B33),2)),MATCH(LEFT(TRIM(B33),3),{""Jan"",""Feb"",""Mar"",""Apr"",""May"",""Jun"",""Jul"",""Aug"",""Sep"",""Oct"",""Nov"",""Dec""},0),15),
  IF(REGEXMATCH(TRIM(B33),""^\d{2}[/-]\d{2}[/-]\d{4}$"&amp;"""),
    DATE(VALUE(RIGHT(TRIM(B33),4)),VALUE(MID(TRIM(B33),4,2)),VALUE(LEFT(TRIM(B33),2))),
  DATEVALUE(TRIM(B33)))),
""CHECK"")"),45313.0)</f>
        <v>45313</v>
      </c>
      <c r="R33" s="2" t="str">
        <f t="shared" si="2"/>
        <v>Jan</v>
      </c>
      <c r="S33" s="2" t="str">
        <f t="shared" si="3"/>
        <v>Q1</v>
      </c>
      <c r="T33" s="2">
        <f t="shared" si="4"/>
        <v>12219.14</v>
      </c>
    </row>
    <row r="34">
      <c r="A34" s="5" t="s">
        <v>178</v>
      </c>
      <c r="B34" s="5" t="s">
        <v>179</v>
      </c>
      <c r="C34" s="5" t="s">
        <v>34</v>
      </c>
      <c r="D34" s="5" t="s">
        <v>82</v>
      </c>
      <c r="E34" s="5" t="s">
        <v>81</v>
      </c>
      <c r="F34" s="5" t="s">
        <v>180</v>
      </c>
      <c r="G34" s="5">
        <v>30079.33</v>
      </c>
      <c r="H34" s="5" t="s">
        <v>26</v>
      </c>
      <c r="I34" s="5" t="s">
        <v>147</v>
      </c>
      <c r="J34" s="5" t="s">
        <v>113</v>
      </c>
      <c r="K34" s="5" t="s">
        <v>67</v>
      </c>
      <c r="L34" s="5"/>
      <c r="N34" s="2" t="str">
        <f t="shared" si="1"/>
        <v>Engineering</v>
      </c>
      <c r="O34" s="6">
        <f>IFERROR(__xludf.DUMMYFUNCTION("IFERROR(
  IF(LEN(TRIM(B34))=6,
    DATE(2000+VALUE(RIGHT(TRIM(B34),2)),MATCH(LEFT(TRIM(B34),3),{""Jan"",""Feb"",""Mar"",""Apr"",""May"",""Jun"",""Jul"",""Aug"",""Sep"",""Oct"",""Nov"",""Dec""},0),15),
  IF(REGEXMATCH(TRIM(B34),""^\d{2}[/-]\d{2}[/-]\d{4}$"&amp;"""),
    DATE(VALUE(RIGHT(TRIM(B34),4)),VALUE(MID(TRIM(B34),4,2)),VALUE(LEFT(TRIM(B34),2))),
  DATEVALUE(TRIM(B34)))),
""CHECK"")"),45449.0)</f>
        <v>45449</v>
      </c>
      <c r="R34" s="2" t="str">
        <f t="shared" si="2"/>
        <v>Jun</v>
      </c>
      <c r="S34" s="2" t="str">
        <f t="shared" si="3"/>
        <v>Q2</v>
      </c>
      <c r="T34" s="2">
        <f t="shared" si="4"/>
        <v>30079.33</v>
      </c>
    </row>
    <row r="35">
      <c r="A35" s="7" t="s">
        <v>181</v>
      </c>
      <c r="B35" s="7" t="s">
        <v>182</v>
      </c>
      <c r="C35" s="7" t="s">
        <v>34</v>
      </c>
      <c r="D35" s="7" t="s">
        <v>31</v>
      </c>
      <c r="E35" s="7" t="s">
        <v>30</v>
      </c>
      <c r="F35" s="7" t="s">
        <v>183</v>
      </c>
      <c r="G35" s="7">
        <v>13746.82</v>
      </c>
      <c r="H35" s="7" t="s">
        <v>26</v>
      </c>
      <c r="I35" s="7" t="s">
        <v>37</v>
      </c>
      <c r="J35" s="7" t="s">
        <v>66</v>
      </c>
      <c r="K35" s="7" t="s">
        <v>67</v>
      </c>
      <c r="L35" s="7"/>
      <c r="N35" s="2" t="str">
        <f t="shared" si="1"/>
        <v>Cloud Infrastructure</v>
      </c>
      <c r="O35" s="6">
        <f>IFERROR(__xludf.DUMMYFUNCTION("IFERROR(
  IF(LEN(TRIM(B35))=6,
    DATE(2000+VALUE(RIGHT(TRIM(B35),2)),MATCH(LEFT(TRIM(B35),3),{""Jan"",""Feb"",""Mar"",""Apr"",""May"",""Jun"",""Jul"",""Aug"",""Sep"",""Oct"",""Nov"",""Dec""},0),15),
  IF(REGEXMATCH(TRIM(B35),""^\d{2}[/-]\d{2}[/-]\d{4}$"&amp;"""),
    DATE(VALUE(RIGHT(TRIM(B35),4)),VALUE(MID(TRIM(B35),4,2)),VALUE(LEFT(TRIM(B35),2))),
  DATEVALUE(TRIM(B35)))),
""CHECK"")"),45410.0)</f>
        <v>45410</v>
      </c>
      <c r="R35" s="2" t="str">
        <f t="shared" si="2"/>
        <v>Apr</v>
      </c>
      <c r="S35" s="2" t="str">
        <f t="shared" si="3"/>
        <v>Q2</v>
      </c>
      <c r="T35" s="2">
        <f t="shared" si="4"/>
        <v>13746.82</v>
      </c>
    </row>
    <row r="36">
      <c r="A36" s="5" t="s">
        <v>184</v>
      </c>
      <c r="B36" s="5" t="s">
        <v>185</v>
      </c>
      <c r="C36" s="5" t="s">
        <v>34</v>
      </c>
      <c r="D36" s="5" t="s">
        <v>31</v>
      </c>
      <c r="E36" s="5" t="s">
        <v>31</v>
      </c>
      <c r="F36" s="5" t="s">
        <v>174</v>
      </c>
      <c r="G36" s="5">
        <v>18874.72</v>
      </c>
      <c r="H36" s="5" t="s">
        <v>26</v>
      </c>
      <c r="I36" s="5" t="s">
        <v>118</v>
      </c>
      <c r="J36" s="5" t="s">
        <v>44</v>
      </c>
      <c r="K36" s="5" t="s">
        <v>29</v>
      </c>
      <c r="L36" s="5"/>
      <c r="N36" s="2" t="str">
        <f t="shared" si="1"/>
        <v>Cloud Infrastructure</v>
      </c>
      <c r="O36" s="6">
        <f>IFERROR(__xludf.DUMMYFUNCTION("IFERROR(
  IF(LEN(TRIM(B36))=6,
    DATE(2000+VALUE(RIGHT(TRIM(B36),2)),MATCH(LEFT(TRIM(B36),3),{""Jan"",""Feb"",""Mar"",""Apr"",""May"",""Jun"",""Jul"",""Aug"",""Sep"",""Oct"",""Nov"",""Dec""},0),15),
  IF(REGEXMATCH(TRIM(B36),""^\d{2}[/-]\d{2}[/-]\d{4}$"&amp;"""),
    DATE(VALUE(RIGHT(TRIM(B36),4)),VALUE(MID(TRIM(B36),4,2)),VALUE(LEFT(TRIM(B36),2))),
  DATEVALUE(TRIM(B36)))),
""CHECK"")"),45371.0)</f>
        <v>45371</v>
      </c>
      <c r="R36" s="2" t="str">
        <f t="shared" si="2"/>
        <v>Mar</v>
      </c>
      <c r="S36" s="2" t="str">
        <f t="shared" si="3"/>
        <v>Q1</v>
      </c>
      <c r="T36" s="2">
        <f t="shared" si="4"/>
        <v>18874.72</v>
      </c>
    </row>
    <row r="37">
      <c r="A37" s="7" t="s">
        <v>186</v>
      </c>
      <c r="B37" s="7" t="s">
        <v>110</v>
      </c>
      <c r="C37" s="7" t="s">
        <v>22</v>
      </c>
      <c r="D37" s="7" t="s">
        <v>23</v>
      </c>
      <c r="E37" s="7" t="s">
        <v>97</v>
      </c>
      <c r="F37" s="7" t="s">
        <v>187</v>
      </c>
      <c r="G37" s="7">
        <v>144260.58</v>
      </c>
      <c r="H37" s="7" t="s">
        <v>26</v>
      </c>
      <c r="I37" s="7" t="s">
        <v>65</v>
      </c>
      <c r="J37" s="7" t="s">
        <v>113</v>
      </c>
      <c r="K37" s="7" t="s">
        <v>67</v>
      </c>
      <c r="L37" s="7"/>
      <c r="N37" s="2" t="str">
        <f t="shared" si="1"/>
        <v>Sales</v>
      </c>
      <c r="O37" s="6">
        <f>IFERROR(__xludf.DUMMYFUNCTION("IFERROR(
  IF(LEN(TRIM(B37))=6,
    DATE(2000+VALUE(RIGHT(TRIM(B37),2)),MATCH(LEFT(TRIM(B37),3),{""Jan"",""Feb"",""Mar"",""Apr"",""May"",""Jun"",""Jul"",""Aug"",""Sep"",""Oct"",""Nov"",""Dec""},0),15),
  IF(REGEXMATCH(TRIM(B37),""^\d{2}[/-]\d{2}[/-]\d{4}$"&amp;"""),
    DATE(VALUE(RIGHT(TRIM(B37),4)),VALUE(MID(TRIM(B37),4,2)),VALUE(LEFT(TRIM(B37),2))),
  DATEVALUE(TRIM(B37)))),
""CHECK"")"),45471.0)</f>
        <v>45471</v>
      </c>
      <c r="R37" s="2" t="str">
        <f t="shared" si="2"/>
        <v>Jun</v>
      </c>
      <c r="S37" s="2" t="str">
        <f t="shared" si="3"/>
        <v>Q2</v>
      </c>
      <c r="T37" s="2">
        <f t="shared" si="4"/>
        <v>144260.58</v>
      </c>
    </row>
    <row r="38">
      <c r="A38" s="5" t="s">
        <v>188</v>
      </c>
      <c r="B38" s="5" t="s">
        <v>189</v>
      </c>
      <c r="C38" s="5" t="s">
        <v>22</v>
      </c>
      <c r="D38" s="5" t="s">
        <v>85</v>
      </c>
      <c r="E38" s="5" t="s">
        <v>97</v>
      </c>
      <c r="F38" s="5" t="s">
        <v>190</v>
      </c>
      <c r="G38" s="5">
        <v>24777.81</v>
      </c>
      <c r="H38" s="5" t="s">
        <v>26</v>
      </c>
      <c r="I38" s="5" t="s">
        <v>27</v>
      </c>
      <c r="J38" s="5" t="s">
        <v>73</v>
      </c>
      <c r="K38" s="5" t="s">
        <v>59</v>
      </c>
      <c r="L38" s="5"/>
      <c r="N38" s="2" t="str">
        <f t="shared" si="1"/>
        <v>Sales</v>
      </c>
      <c r="O38" s="6">
        <f>IFERROR(__xludf.DUMMYFUNCTION("IFERROR(
  IF(LEN(TRIM(B38))=6,
    DATE(2000+VALUE(RIGHT(TRIM(B38),2)),MATCH(LEFT(TRIM(B38),3),{""Jan"",""Feb"",""Mar"",""Apr"",""May"",""Jun"",""Jul"",""Aug"",""Sep"",""Oct"",""Nov"",""Dec""},0),15),
  IF(REGEXMATCH(TRIM(B38),""^\d{2}[/-]\d{2}[/-]\d{4}$"&amp;"""),
    DATE(VALUE(RIGHT(TRIM(B38),4)),VALUE(MID(TRIM(B38),4,2)),VALUE(LEFT(TRIM(B38),2))),
  DATEVALUE(TRIM(B38)))),
""CHECK"")"),45554.0)</f>
        <v>45554</v>
      </c>
      <c r="R38" s="2" t="str">
        <f t="shared" si="2"/>
        <v>Sep</v>
      </c>
      <c r="S38" s="2" t="str">
        <f t="shared" si="3"/>
        <v>Q3</v>
      </c>
      <c r="T38" s="2">
        <f t="shared" si="4"/>
        <v>24777.81</v>
      </c>
    </row>
    <row r="39">
      <c r="A39" s="7" t="s">
        <v>191</v>
      </c>
      <c r="B39" s="7" t="s">
        <v>192</v>
      </c>
      <c r="C39" s="7" t="s">
        <v>34</v>
      </c>
      <c r="D39" s="7" t="s">
        <v>51</v>
      </c>
      <c r="E39" s="7" t="s">
        <v>50</v>
      </c>
      <c r="F39" s="7" t="s">
        <v>193</v>
      </c>
      <c r="G39" s="7">
        <v>27990.06</v>
      </c>
      <c r="H39" s="7" t="s">
        <v>26</v>
      </c>
      <c r="I39" s="7" t="s">
        <v>147</v>
      </c>
      <c r="J39" s="7" t="s">
        <v>73</v>
      </c>
      <c r="K39" s="7" t="s">
        <v>59</v>
      </c>
      <c r="L39" s="7"/>
      <c r="N39" s="2" t="str">
        <f t="shared" si="1"/>
        <v>Customer Success</v>
      </c>
      <c r="O39" s="6">
        <f>IFERROR(__xludf.DUMMYFUNCTION("IFERROR(
  IF(LEN(TRIM(B39))=6,
    DATE(2000+VALUE(RIGHT(TRIM(B39),2)),MATCH(LEFT(TRIM(B39),3),{""Jan"",""Feb"",""Mar"",""Apr"",""May"",""Jun"",""Jul"",""Aug"",""Sep"",""Oct"",""Nov"",""Dec""},0),15),
  IF(REGEXMATCH(TRIM(B39),""^\d{2}[/-]\d{2}[/-]\d{4}$"&amp;"""),
    DATE(VALUE(RIGHT(TRIM(B39),4)),VALUE(MID(TRIM(B39),4,2)),VALUE(LEFT(TRIM(B39),2))),
  DATEVALUE(TRIM(B39)))),
""CHECK"")"),45554.0)</f>
        <v>45554</v>
      </c>
      <c r="R39" s="2" t="str">
        <f t="shared" si="2"/>
        <v>Sep</v>
      </c>
      <c r="S39" s="2" t="str">
        <f t="shared" si="3"/>
        <v>Q3</v>
      </c>
      <c r="T39" s="2">
        <f t="shared" si="4"/>
        <v>27990.06</v>
      </c>
    </row>
    <row r="40">
      <c r="A40" s="5" t="s">
        <v>194</v>
      </c>
      <c r="B40" s="5" t="s">
        <v>195</v>
      </c>
      <c r="C40" s="5" t="s">
        <v>34</v>
      </c>
      <c r="D40" s="5" t="s">
        <v>54</v>
      </c>
      <c r="E40" s="5" t="s">
        <v>196</v>
      </c>
      <c r="F40" s="5" t="s">
        <v>197</v>
      </c>
      <c r="G40" s="5">
        <v>58324.51</v>
      </c>
      <c r="H40" s="5" t="s">
        <v>26</v>
      </c>
      <c r="I40" s="5" t="s">
        <v>93</v>
      </c>
      <c r="J40" s="5" t="s">
        <v>113</v>
      </c>
      <c r="K40" s="5" t="s">
        <v>67</v>
      </c>
      <c r="L40" s="5"/>
      <c r="N40" s="2" t="str">
        <f t="shared" si="1"/>
        <v>Marketing</v>
      </c>
      <c r="O40" s="6">
        <f>IFERROR(__xludf.DUMMYFUNCTION("IFERROR(
  IF(LEN(TRIM(B40))=6,
    DATE(2000+VALUE(RIGHT(TRIM(B40),2)),MATCH(LEFT(TRIM(B40),3),{""Jan"",""Feb"",""Mar"",""Apr"",""May"",""Jun"",""Jul"",""Aug"",""Sep"",""Oct"",""Nov"",""Dec""},0),15),
  IF(REGEXMATCH(TRIM(B40),""^\d{2}[/-]\d{2}[/-]\d{4}$"&amp;"""),
    DATE(VALUE(RIGHT(TRIM(B40),4)),VALUE(MID(TRIM(B40),4,2)),VALUE(LEFT(TRIM(B40),2))),
  DATEVALUE(TRIM(B40)))),
""CHECK"")"),45357.0)</f>
        <v>45357</v>
      </c>
      <c r="R40" s="2" t="str">
        <f t="shared" si="2"/>
        <v>Mar</v>
      </c>
      <c r="S40" s="2" t="str">
        <f t="shared" si="3"/>
        <v>Q1</v>
      </c>
      <c r="T40" s="2">
        <f t="shared" si="4"/>
        <v>58324.51</v>
      </c>
    </row>
    <row r="41">
      <c r="A41" s="7" t="s">
        <v>198</v>
      </c>
      <c r="B41" s="7" t="s">
        <v>199</v>
      </c>
      <c r="C41" s="7" t="s">
        <v>22</v>
      </c>
      <c r="D41" s="7" t="s">
        <v>85</v>
      </c>
      <c r="E41" s="7" t="s">
        <v>97</v>
      </c>
      <c r="F41" s="7" t="s">
        <v>190</v>
      </c>
      <c r="G41" s="7">
        <v>28569.62</v>
      </c>
      <c r="H41" s="7" t="s">
        <v>26</v>
      </c>
      <c r="I41" s="7" t="s">
        <v>137</v>
      </c>
      <c r="J41" s="7" t="s">
        <v>113</v>
      </c>
      <c r="K41" s="7" t="s">
        <v>67</v>
      </c>
      <c r="L41" s="7"/>
      <c r="N41" s="2" t="str">
        <f t="shared" si="1"/>
        <v>Sales</v>
      </c>
      <c r="O41" s="6">
        <f>IFERROR(__xludf.DUMMYFUNCTION("IFERROR(
  IF(LEN(TRIM(B41))=6,
    DATE(2000+VALUE(RIGHT(TRIM(B41),2)),MATCH(LEFT(TRIM(B41),3),{""Jan"",""Feb"",""Mar"",""Apr"",""May"",""Jun"",""Jul"",""Aug"",""Sep"",""Oct"",""Nov"",""Dec""},0),15),
  IF(REGEXMATCH(TRIM(B41),""^\d{2}[/-]\d{2}[/-]\d{4}$"&amp;"""),
    DATE(VALUE(RIGHT(TRIM(B41),4)),VALUE(MID(TRIM(B41),4,2)),VALUE(LEFT(TRIM(B41),2))),
  DATEVALUE(TRIM(B41)))),
""CHECK"")"),45444.0)</f>
        <v>45444</v>
      </c>
      <c r="R41" s="2" t="str">
        <f t="shared" si="2"/>
        <v>Jun</v>
      </c>
      <c r="S41" s="2" t="str">
        <f t="shared" si="3"/>
        <v>Q2</v>
      </c>
      <c r="T41" s="2">
        <f t="shared" si="4"/>
        <v>28569.62</v>
      </c>
    </row>
    <row r="42">
      <c r="A42" s="5" t="s">
        <v>200</v>
      </c>
      <c r="B42" s="5" t="s">
        <v>201</v>
      </c>
      <c r="C42" s="5" t="s">
        <v>34</v>
      </c>
      <c r="D42" s="5" t="s">
        <v>82</v>
      </c>
      <c r="E42" s="5" t="s">
        <v>99</v>
      </c>
      <c r="F42" s="5" t="s">
        <v>202</v>
      </c>
      <c r="G42" s="5">
        <v>17996.1</v>
      </c>
      <c r="H42" s="5" t="s">
        <v>26</v>
      </c>
      <c r="I42" s="5" t="s">
        <v>93</v>
      </c>
      <c r="J42" s="5" t="s">
        <v>58</v>
      </c>
      <c r="K42" s="5" t="s">
        <v>59</v>
      </c>
      <c r="L42" s="5"/>
      <c r="N42" s="2" t="str">
        <f t="shared" si="1"/>
        <v>Engineering</v>
      </c>
      <c r="O42" s="6">
        <f>IFERROR(__xludf.DUMMYFUNCTION("IFERROR(
  IF(LEN(TRIM(B42))=6,
    DATE(2000+VALUE(RIGHT(TRIM(B42),2)),MATCH(LEFT(TRIM(B42),3),{""Jan"",""Feb"",""Mar"",""Apr"",""May"",""Jun"",""Jul"",""Aug"",""Sep"",""Oct"",""Nov"",""Dec""},0),15),
  IF(REGEXMATCH(TRIM(B42),""^\d{2}[/-]\d{2}[/-]\d{4}$"&amp;"""),
    DATE(VALUE(RIGHT(TRIM(B42),4)),VALUE(MID(TRIM(B42),4,2)),VALUE(LEFT(TRIM(B42),2))),
  DATEVALUE(TRIM(B42)))),
""CHECK"")"),45488.0)</f>
        <v>45488</v>
      </c>
      <c r="R42" s="2" t="str">
        <f t="shared" si="2"/>
        <v>Jul</v>
      </c>
      <c r="S42" s="2" t="str">
        <f t="shared" si="3"/>
        <v>Q3</v>
      </c>
      <c r="T42" s="2">
        <f t="shared" si="4"/>
        <v>17996.1</v>
      </c>
    </row>
    <row r="43">
      <c r="A43" s="7" t="s">
        <v>203</v>
      </c>
      <c r="B43" s="7" t="s">
        <v>204</v>
      </c>
      <c r="C43" s="7" t="s">
        <v>34</v>
      </c>
      <c r="D43" s="7" t="s">
        <v>82</v>
      </c>
      <c r="E43" s="7" t="s">
        <v>94</v>
      </c>
      <c r="F43" s="7" t="s">
        <v>205</v>
      </c>
      <c r="G43" s="7">
        <v>36377.1</v>
      </c>
      <c r="H43" s="7" t="s">
        <v>26</v>
      </c>
      <c r="I43" s="7" t="s">
        <v>206</v>
      </c>
      <c r="J43" s="7" t="s">
        <v>66</v>
      </c>
      <c r="K43" s="7" t="s">
        <v>67</v>
      </c>
      <c r="L43" s="7"/>
      <c r="N43" s="2" t="str">
        <f t="shared" si="1"/>
        <v>Engineering</v>
      </c>
      <c r="O43" s="6">
        <f>IFERROR(__xludf.DUMMYFUNCTION("IFERROR(
  IF(LEN(TRIM(B43))=6,
    DATE(2000+VALUE(RIGHT(TRIM(B43),2)),MATCH(LEFT(TRIM(B43),3),{""Jan"",""Feb"",""Mar"",""Apr"",""May"",""Jun"",""Jul"",""Aug"",""Sep"",""Oct"",""Nov"",""Dec""},0),15),
  IF(REGEXMATCH(TRIM(B43),""^\d{2}[/-]\d{2}[/-]\d{4}$"&amp;"""),
    DATE(VALUE(RIGHT(TRIM(B43),4)),VALUE(MID(TRIM(B43),4,2)),VALUE(LEFT(TRIM(B43),2))),
  DATEVALUE(TRIM(B43)))),
""CHECK"")"),45751.0)</f>
        <v>45751</v>
      </c>
      <c r="R43" s="2" t="str">
        <f t="shared" si="2"/>
        <v>Apr</v>
      </c>
      <c r="S43" s="2" t="str">
        <f t="shared" si="3"/>
        <v>Q2</v>
      </c>
      <c r="T43" s="2">
        <f t="shared" si="4"/>
        <v>36377.1</v>
      </c>
    </row>
    <row r="44">
      <c r="A44" s="5" t="s">
        <v>207</v>
      </c>
      <c r="B44" s="5" t="s">
        <v>208</v>
      </c>
      <c r="C44" s="5" t="s">
        <v>34</v>
      </c>
      <c r="D44" s="5" t="s">
        <v>82</v>
      </c>
      <c r="E44" s="5" t="s">
        <v>82</v>
      </c>
      <c r="F44" s="5" t="s">
        <v>209</v>
      </c>
      <c r="G44" s="5">
        <v>26734.12</v>
      </c>
      <c r="H44" s="5" t="s">
        <v>26</v>
      </c>
      <c r="I44" s="5" t="s">
        <v>93</v>
      </c>
      <c r="J44" s="5"/>
      <c r="K44" s="5"/>
      <c r="L44" s="5"/>
      <c r="N44" s="2" t="str">
        <f t="shared" si="1"/>
        <v>Engineering</v>
      </c>
      <c r="O44" s="6">
        <f>IFERROR(__xludf.DUMMYFUNCTION("IFERROR(
  IF(LEN(TRIM(B44))=6,
    DATE(2000+VALUE(RIGHT(TRIM(B44),2)),MATCH(LEFT(TRIM(B44),3),{""Jan"",""Feb"",""Mar"",""Apr"",""May"",""Jun"",""Jul"",""Aug"",""Sep"",""Oct"",""Nov"",""Dec""},0),15),
  IF(REGEXMATCH(TRIM(B44),""^\d{2}[/-]\d{2}[/-]\d{4}$"&amp;"""),
    DATE(VALUE(RIGHT(TRIM(B44),4)),VALUE(MID(TRIM(B44),4,2)),VALUE(LEFT(TRIM(B44),2))),
  DATEVALUE(TRIM(B44)))),
""CHECK"")"),45400.0)</f>
        <v>45400</v>
      </c>
      <c r="R44" s="2" t="str">
        <f t="shared" si="2"/>
        <v>Apr</v>
      </c>
      <c r="S44" s="2" t="str">
        <f t="shared" si="3"/>
        <v>Q2</v>
      </c>
      <c r="T44" s="2">
        <f t="shared" si="4"/>
        <v>26734.12</v>
      </c>
    </row>
    <row r="45">
      <c r="A45" s="7" t="s">
        <v>210</v>
      </c>
      <c r="B45" s="7" t="s">
        <v>211</v>
      </c>
      <c r="C45" s="7" t="s">
        <v>22</v>
      </c>
      <c r="D45" s="7" t="s">
        <v>62</v>
      </c>
      <c r="E45" s="7" t="s">
        <v>24</v>
      </c>
      <c r="F45" s="7" t="s">
        <v>212</v>
      </c>
      <c r="G45" s="7">
        <v>6371.57</v>
      </c>
      <c r="H45" s="7" t="s">
        <v>26</v>
      </c>
      <c r="I45" s="7" t="s">
        <v>213</v>
      </c>
      <c r="J45" s="7" t="s">
        <v>44</v>
      </c>
      <c r="K45" s="7" t="s">
        <v>29</v>
      </c>
      <c r="L45" s="7"/>
      <c r="N45" s="2" t="str">
        <f t="shared" si="1"/>
        <v>Sales</v>
      </c>
      <c r="O45" s="6">
        <f>IFERROR(__xludf.DUMMYFUNCTION("IFERROR(
  IF(LEN(TRIM(B45))=6,
    DATE(2000+VALUE(RIGHT(TRIM(B45),2)),MATCH(LEFT(TRIM(B45),3),{""Jan"",""Feb"",""Mar"",""Apr"",""May"",""Jun"",""Jul"",""Aug"",""Sep"",""Oct"",""Nov"",""Dec""},0),15),
  IF(REGEXMATCH(TRIM(B45),""^\d{2}[/-]\d{2}[/-]\d{4}$"&amp;"""),
    DATE(VALUE(RIGHT(TRIM(B45),4)),VALUE(MID(TRIM(B45),4,2)),VALUE(LEFT(TRIM(B45),2))),
  DATEVALUE(TRIM(B45)))),
""CHECK"")"),45366.0)</f>
        <v>45366</v>
      </c>
      <c r="R45" s="2" t="str">
        <f t="shared" si="2"/>
        <v>Mar</v>
      </c>
      <c r="S45" s="2" t="str">
        <f t="shared" si="3"/>
        <v>Q1</v>
      </c>
      <c r="T45" s="2">
        <f t="shared" si="4"/>
        <v>6371.57</v>
      </c>
    </row>
    <row r="46">
      <c r="A46" s="5" t="s">
        <v>214</v>
      </c>
      <c r="B46" s="5" t="s">
        <v>215</v>
      </c>
      <c r="C46" s="5" t="s">
        <v>22</v>
      </c>
      <c r="D46" s="5" t="s">
        <v>85</v>
      </c>
      <c r="E46" s="5" t="s">
        <v>24</v>
      </c>
      <c r="F46" s="5" t="s">
        <v>216</v>
      </c>
      <c r="G46" s="5">
        <v>14601.16</v>
      </c>
      <c r="H46" s="5" t="s">
        <v>26</v>
      </c>
      <c r="I46" s="5" t="s">
        <v>72</v>
      </c>
      <c r="J46" s="5" t="s">
        <v>87</v>
      </c>
      <c r="K46" s="5" t="s">
        <v>67</v>
      </c>
      <c r="L46" s="5"/>
      <c r="N46" s="2" t="str">
        <f t="shared" si="1"/>
        <v>Sales</v>
      </c>
      <c r="O46" s="6">
        <f>IFERROR(__xludf.DUMMYFUNCTION("IFERROR(
  IF(LEN(TRIM(B46))=6,
    DATE(2000+VALUE(RIGHT(TRIM(B46),2)),MATCH(LEFT(TRIM(B46),3),{""Jan"",""Feb"",""Mar"",""Apr"",""May"",""Jun"",""Jul"",""Aug"",""Sep"",""Oct"",""Nov"",""Dec""},0),15),
  IF(REGEXMATCH(TRIM(B46),""^\d{2}[/-]\d{2}[/-]\d{4}$"&amp;"""),
    DATE(VALUE(RIGHT(TRIM(B46),4)),VALUE(MID(TRIM(B46),4,2)),VALUE(LEFT(TRIM(B46),2))),
  DATEVALUE(TRIM(B46)))),
""CHECK"")"),45440.0)</f>
        <v>45440</v>
      </c>
      <c r="R46" s="2" t="str">
        <f t="shared" si="2"/>
        <v>May</v>
      </c>
      <c r="S46" s="2" t="str">
        <f t="shared" si="3"/>
        <v>Q2</v>
      </c>
      <c r="T46" s="2">
        <f t="shared" si="4"/>
        <v>14601.16</v>
      </c>
    </row>
    <row r="47">
      <c r="A47" s="7" t="s">
        <v>217</v>
      </c>
      <c r="B47" s="7" t="s">
        <v>218</v>
      </c>
      <c r="C47" s="7" t="s">
        <v>22</v>
      </c>
      <c r="D47" s="7" t="s">
        <v>62</v>
      </c>
      <c r="E47" s="7" t="s">
        <v>63</v>
      </c>
      <c r="F47" s="7" t="s">
        <v>152</v>
      </c>
      <c r="G47" s="7">
        <v>8918.29</v>
      </c>
      <c r="H47" s="7" t="s">
        <v>26</v>
      </c>
      <c r="I47" s="7" t="s">
        <v>72</v>
      </c>
      <c r="J47" s="7" t="s">
        <v>113</v>
      </c>
      <c r="K47" s="7" t="s">
        <v>67</v>
      </c>
      <c r="L47" s="7"/>
      <c r="N47" s="2" t="str">
        <f t="shared" si="1"/>
        <v>Sales</v>
      </c>
      <c r="O47" s="6">
        <f>IFERROR(__xludf.DUMMYFUNCTION("IFERROR(
  IF(LEN(TRIM(B47))=6,
    DATE(2000+VALUE(RIGHT(TRIM(B47),2)),MATCH(LEFT(TRIM(B47),3),{""Jan"",""Feb"",""Mar"",""Apr"",""May"",""Jun"",""Jul"",""Aug"",""Sep"",""Oct"",""Nov"",""Dec""},0),15),
  IF(REGEXMATCH(TRIM(B47),""^\d{2}[/-]\d{2}[/-]\d{4}$"&amp;"""),
    DATE(VALUE(RIGHT(TRIM(B47),4)),VALUE(MID(TRIM(B47),4,2)),VALUE(LEFT(TRIM(B47),2))),
  DATEVALUE(TRIM(B47)))),
""CHECK"")"),45465.0)</f>
        <v>45465</v>
      </c>
      <c r="R47" s="2" t="str">
        <f t="shared" si="2"/>
        <v>Jun</v>
      </c>
      <c r="S47" s="2" t="str">
        <f t="shared" si="3"/>
        <v>Q2</v>
      </c>
      <c r="T47" s="2">
        <f t="shared" si="4"/>
        <v>8918.29</v>
      </c>
    </row>
    <row r="48">
      <c r="A48" s="5" t="s">
        <v>219</v>
      </c>
      <c r="B48" s="5" t="s">
        <v>220</v>
      </c>
      <c r="C48" s="5" t="s">
        <v>22</v>
      </c>
      <c r="D48" s="5" t="s">
        <v>62</v>
      </c>
      <c r="E48" s="5" t="s">
        <v>97</v>
      </c>
      <c r="F48" s="5" t="s">
        <v>221</v>
      </c>
      <c r="G48" s="5">
        <v>6040.53</v>
      </c>
      <c r="H48" s="5" t="s">
        <v>26</v>
      </c>
      <c r="I48" s="5" t="s">
        <v>137</v>
      </c>
      <c r="J48" s="5" t="s">
        <v>113</v>
      </c>
      <c r="K48" s="5" t="s">
        <v>67</v>
      </c>
      <c r="L48" s="5"/>
      <c r="N48" s="2" t="str">
        <f t="shared" si="1"/>
        <v>Sales</v>
      </c>
      <c r="O48" s="6">
        <f>IFERROR(__xludf.DUMMYFUNCTION("IFERROR(
  IF(LEN(TRIM(B48))=6,
    DATE(2000+VALUE(RIGHT(TRIM(B48),2)),MATCH(LEFT(TRIM(B48),3),{""Jan"",""Feb"",""Mar"",""Apr"",""May"",""Jun"",""Jul"",""Aug"",""Sep"",""Oct"",""Nov"",""Dec""},0),15),
  IF(REGEXMATCH(TRIM(B48),""^\d{2}[/-]\d{2}[/-]\d{4}$"&amp;"""),
    DATE(VALUE(RIGHT(TRIM(B48),4)),VALUE(MID(TRIM(B48),4,2)),VALUE(LEFT(TRIM(B48),2))),
  DATEVALUE(TRIM(B48)))),
""CHECK"")"),45450.0)</f>
        <v>45450</v>
      </c>
      <c r="R48" s="2" t="str">
        <f t="shared" si="2"/>
        <v>Jun</v>
      </c>
      <c r="S48" s="2" t="str">
        <f t="shared" si="3"/>
        <v>Q2</v>
      </c>
      <c r="T48" s="2">
        <f t="shared" si="4"/>
        <v>6040.53</v>
      </c>
    </row>
    <row r="49">
      <c r="A49" s="7" t="s">
        <v>222</v>
      </c>
      <c r="B49" s="7" t="s">
        <v>223</v>
      </c>
      <c r="C49" s="7" t="s">
        <v>22</v>
      </c>
      <c r="D49" s="7" t="s">
        <v>62</v>
      </c>
      <c r="E49" s="7" t="s">
        <v>111</v>
      </c>
      <c r="F49" s="7" t="s">
        <v>224</v>
      </c>
      <c r="G49" s="7">
        <v>7976.65</v>
      </c>
      <c r="H49" s="7" t="s">
        <v>26</v>
      </c>
      <c r="I49" s="7" t="s">
        <v>27</v>
      </c>
      <c r="J49" s="7" t="s">
        <v>44</v>
      </c>
      <c r="K49" s="7" t="s">
        <v>29</v>
      </c>
      <c r="L49" s="7"/>
      <c r="N49" s="2" t="str">
        <f t="shared" si="1"/>
        <v>Sales</v>
      </c>
      <c r="O49" s="6">
        <f>IFERROR(__xludf.DUMMYFUNCTION("IFERROR(
  IF(LEN(TRIM(B49))=6,
    DATE(2000+VALUE(RIGHT(TRIM(B49),2)),MATCH(LEFT(TRIM(B49),3),{""Jan"",""Feb"",""Mar"",""Apr"",""May"",""Jun"",""Jul"",""Aug"",""Sep"",""Oct"",""Nov"",""Dec""},0),15),
  IF(REGEXMATCH(TRIM(B49),""^\d{2}[/-]\d{2}[/-]\d{4}$"&amp;"""),
    DATE(VALUE(RIGHT(TRIM(B49),4)),VALUE(MID(TRIM(B49),4,2)),VALUE(LEFT(TRIM(B49),2))),
  DATEVALUE(TRIM(B49)))),
""CHECK"")"),45371.0)</f>
        <v>45371</v>
      </c>
      <c r="R49" s="2" t="str">
        <f t="shared" si="2"/>
        <v>Mar</v>
      </c>
      <c r="S49" s="2" t="str">
        <f t="shared" si="3"/>
        <v>Q1</v>
      </c>
      <c r="T49" s="2">
        <f t="shared" si="4"/>
        <v>7976.65</v>
      </c>
    </row>
    <row r="50">
      <c r="A50" s="5" t="s">
        <v>225</v>
      </c>
      <c r="B50" s="5" t="s">
        <v>226</v>
      </c>
      <c r="C50" s="5" t="s">
        <v>22</v>
      </c>
      <c r="D50" s="5" t="s">
        <v>23</v>
      </c>
      <c r="E50" s="5" t="s">
        <v>111</v>
      </c>
      <c r="F50" s="5" t="s">
        <v>227</v>
      </c>
      <c r="G50" s="5">
        <v>192445.88</v>
      </c>
      <c r="H50" s="5" t="s">
        <v>26</v>
      </c>
      <c r="I50" s="5" t="s">
        <v>137</v>
      </c>
      <c r="J50" s="5" t="s">
        <v>38</v>
      </c>
      <c r="K50" s="5" t="s">
        <v>39</v>
      </c>
      <c r="L50" s="5"/>
      <c r="N50" s="2" t="str">
        <f t="shared" si="1"/>
        <v>Sales</v>
      </c>
      <c r="O50" s="6">
        <f>IFERROR(__xludf.DUMMYFUNCTION("IFERROR(
  IF(LEN(TRIM(B50))=6,
    DATE(2000+VALUE(RIGHT(TRIM(B50),2)),MATCH(LEFT(TRIM(B50),3),{""Jan"",""Feb"",""Mar"",""Apr"",""May"",""Jun"",""Jul"",""Aug"",""Sep"",""Oct"",""Nov"",""Dec""},0),15),
  IF(REGEXMATCH(TRIM(B50),""^\d{2}[/-]\d{2}[/-]\d{4}$"&amp;"""),
    DATE(VALUE(RIGHT(TRIM(B50),4)),VALUE(MID(TRIM(B50),4,2)),VALUE(LEFT(TRIM(B50),2))),
  DATEVALUE(TRIM(B50)))),
""CHECK"")"),45636.0)</f>
        <v>45636</v>
      </c>
      <c r="R50" s="2" t="str">
        <f t="shared" si="2"/>
        <v>Dec</v>
      </c>
      <c r="S50" s="2" t="str">
        <f t="shared" si="3"/>
        <v>Q4</v>
      </c>
      <c r="T50" s="2">
        <f t="shared" si="4"/>
        <v>192445.88</v>
      </c>
    </row>
    <row r="51">
      <c r="A51" s="7" t="s">
        <v>228</v>
      </c>
      <c r="B51" s="7" t="s">
        <v>229</v>
      </c>
      <c r="C51" s="7" t="s">
        <v>34</v>
      </c>
      <c r="D51" s="7" t="s">
        <v>31</v>
      </c>
      <c r="E51" s="7" t="s">
        <v>35</v>
      </c>
      <c r="F51" s="7" t="s">
        <v>230</v>
      </c>
      <c r="G51" s="7">
        <v>46810.09</v>
      </c>
      <c r="H51" s="7" t="s">
        <v>26</v>
      </c>
      <c r="I51" s="7" t="s">
        <v>231</v>
      </c>
      <c r="J51" s="7" t="s">
        <v>28</v>
      </c>
      <c r="K51" s="7" t="s">
        <v>29</v>
      </c>
      <c r="L51" s="7"/>
      <c r="N51" s="2" t="str">
        <f t="shared" si="1"/>
        <v>Cloud Infrastructure</v>
      </c>
      <c r="O51" s="6">
        <f>IFERROR(__xludf.DUMMYFUNCTION("IFERROR(
  IF(LEN(TRIM(B51))=6,
    DATE(2000+VALUE(RIGHT(TRIM(B51),2)),MATCH(LEFT(TRIM(B51),3),{""Jan"",""Feb"",""Mar"",""Apr"",""May"",""Jun"",""Jul"",""Aug"",""Sep"",""Oct"",""Nov"",""Dec""},0),15),
  IF(REGEXMATCH(TRIM(B51),""^\d{2}[/-]\d{2}[/-]\d{4}$"&amp;"""),
    DATE(VALUE(RIGHT(TRIM(B51),4)),VALUE(MID(TRIM(B51),4,2)),VALUE(LEFT(TRIM(B51),2))),
  DATEVALUE(TRIM(B51)))),
""CHECK"")"),45319.0)</f>
        <v>45319</v>
      </c>
      <c r="R51" s="2" t="str">
        <f t="shared" si="2"/>
        <v>Jan</v>
      </c>
      <c r="S51" s="2" t="str">
        <f t="shared" si="3"/>
        <v>Q1</v>
      </c>
      <c r="T51" s="2">
        <f t="shared" si="4"/>
        <v>46810.09</v>
      </c>
    </row>
    <row r="52">
      <c r="A52" s="5" t="s">
        <v>232</v>
      </c>
      <c r="B52" s="5" t="s">
        <v>233</v>
      </c>
      <c r="C52" s="5" t="s">
        <v>34</v>
      </c>
      <c r="D52" s="5" t="s">
        <v>31</v>
      </c>
      <c r="E52" s="5" t="s">
        <v>145</v>
      </c>
      <c r="F52" s="5" t="s">
        <v>121</v>
      </c>
      <c r="G52" s="5">
        <v>26973.1</v>
      </c>
      <c r="H52" s="5" t="s">
        <v>26</v>
      </c>
      <c r="I52" s="5" t="s">
        <v>37</v>
      </c>
      <c r="J52" s="5" t="s">
        <v>113</v>
      </c>
      <c r="K52" s="5" t="s">
        <v>67</v>
      </c>
      <c r="L52" s="5"/>
      <c r="N52" s="2" t="str">
        <f t="shared" si="1"/>
        <v>Cloud Infrastructure</v>
      </c>
      <c r="O52" s="6">
        <f>IFERROR(__xludf.DUMMYFUNCTION("IFERROR(
  IF(LEN(TRIM(B52))=6,
    DATE(2000+VALUE(RIGHT(TRIM(B52),2)),MATCH(LEFT(TRIM(B52),3),{""Jan"",""Feb"",""Mar"",""Apr"",""May"",""Jun"",""Jul"",""Aug"",""Sep"",""Oct"",""Nov"",""Dec""},0),15),
  IF(REGEXMATCH(TRIM(B52),""^\d{2}[/-]\d{2}[/-]\d{4}$"&amp;"""),
    DATE(VALUE(RIGHT(TRIM(B52),4)),VALUE(MID(TRIM(B52),4,2)),VALUE(LEFT(TRIM(B52),2))),
  DATEVALUE(TRIM(B52)))),
""CHECK"")"),45462.0)</f>
        <v>45462</v>
      </c>
      <c r="R52" s="2" t="str">
        <f t="shared" si="2"/>
        <v>Jun</v>
      </c>
      <c r="S52" s="2" t="str">
        <f t="shared" si="3"/>
        <v>Q2</v>
      </c>
      <c r="T52" s="2">
        <f t="shared" si="4"/>
        <v>26973.1</v>
      </c>
    </row>
    <row r="53">
      <c r="A53" s="7" t="s">
        <v>234</v>
      </c>
      <c r="B53" s="7" t="s">
        <v>235</v>
      </c>
      <c r="C53" s="7" t="s">
        <v>34</v>
      </c>
      <c r="D53" s="7" t="s">
        <v>111</v>
      </c>
      <c r="E53" s="7" t="s">
        <v>97</v>
      </c>
      <c r="F53" s="7" t="s">
        <v>236</v>
      </c>
      <c r="G53" s="7">
        <v>10669.47</v>
      </c>
      <c r="H53" s="7" t="s">
        <v>26</v>
      </c>
      <c r="I53" s="7" t="s">
        <v>237</v>
      </c>
      <c r="J53" s="7" t="s">
        <v>108</v>
      </c>
      <c r="K53" s="7" t="s">
        <v>59</v>
      </c>
      <c r="L53" s="7"/>
      <c r="N53" s="2" t="str">
        <f t="shared" si="1"/>
        <v>Sales</v>
      </c>
      <c r="O53" s="6">
        <f>IFERROR(__xludf.DUMMYFUNCTION("IFERROR(
  IF(LEN(TRIM(B53))=6,
    DATE(2000+VALUE(RIGHT(TRIM(B53),2)),MATCH(LEFT(TRIM(B53),3),{""Jan"",""Feb"",""Mar"",""Apr"",""May"",""Jun"",""Jul"",""Aug"",""Sep"",""Oct"",""Nov"",""Dec""},0),15),
  IF(REGEXMATCH(TRIM(B53),""^\d{2}[/-]\d{2}[/-]\d{4}$"&amp;"""),
    DATE(VALUE(RIGHT(TRIM(B53),4)),VALUE(MID(TRIM(B53),4,2)),VALUE(LEFT(TRIM(B53),2))),
  DATEVALUE(TRIM(B53)))),
""CHECK"")"),45529.0)</f>
        <v>45529</v>
      </c>
      <c r="R53" s="2" t="str">
        <f t="shared" si="2"/>
        <v>Aug</v>
      </c>
      <c r="S53" s="2" t="str">
        <f t="shared" si="3"/>
        <v>Q3</v>
      </c>
      <c r="T53" s="2">
        <f t="shared" si="4"/>
        <v>10669.47</v>
      </c>
    </row>
    <row r="54">
      <c r="A54" s="5" t="s">
        <v>238</v>
      </c>
      <c r="B54" s="5" t="s">
        <v>239</v>
      </c>
      <c r="C54" s="5" t="s">
        <v>22</v>
      </c>
      <c r="D54" s="5" t="s">
        <v>85</v>
      </c>
      <c r="E54" s="5" t="s">
        <v>111</v>
      </c>
      <c r="F54" s="5" t="s">
        <v>240</v>
      </c>
      <c r="G54" s="5">
        <v>24516.69</v>
      </c>
      <c r="H54" s="5" t="s">
        <v>26</v>
      </c>
      <c r="I54" s="5" t="s">
        <v>137</v>
      </c>
      <c r="J54" s="5" t="s">
        <v>38</v>
      </c>
      <c r="K54" s="5" t="s">
        <v>39</v>
      </c>
      <c r="L54" s="5"/>
      <c r="N54" s="2" t="str">
        <f t="shared" si="1"/>
        <v>Sales</v>
      </c>
      <c r="O54" s="6">
        <f>IFERROR(__xludf.DUMMYFUNCTION("IFERROR(
  IF(LEN(TRIM(B54))=6,
    DATE(2000+VALUE(RIGHT(TRIM(B54),2)),MATCH(LEFT(TRIM(B54),3),{""Jan"",""Feb"",""Mar"",""Apr"",""May"",""Jun"",""Jul"",""Aug"",""Sep"",""Oct"",""Nov"",""Dec""},0),15),
  IF(REGEXMATCH(TRIM(B54),""^\d{2}[/-]\d{2}[/-]\d{4}$"&amp;"""),
    DATE(VALUE(RIGHT(TRIM(B54),4)),VALUE(MID(TRIM(B54),4,2)),VALUE(LEFT(TRIM(B54),2))),
  DATEVALUE(TRIM(B54)))),
""CHECK"")"),45641.0)</f>
        <v>45641</v>
      </c>
      <c r="R54" s="2" t="str">
        <f t="shared" si="2"/>
        <v>Dec</v>
      </c>
      <c r="S54" s="2" t="str">
        <f t="shared" si="3"/>
        <v>Q4</v>
      </c>
      <c r="T54" s="2">
        <f t="shared" si="4"/>
        <v>24516.69</v>
      </c>
    </row>
    <row r="55">
      <c r="A55" s="7" t="s">
        <v>241</v>
      </c>
      <c r="B55" s="7" t="s">
        <v>242</v>
      </c>
      <c r="C55" s="7" t="s">
        <v>22</v>
      </c>
      <c r="D55" s="7" t="s">
        <v>62</v>
      </c>
      <c r="E55" s="7" t="s">
        <v>111</v>
      </c>
      <c r="F55" s="7" t="s">
        <v>98</v>
      </c>
      <c r="G55" s="7">
        <v>6484.32</v>
      </c>
      <c r="H55" s="7" t="s">
        <v>26</v>
      </c>
      <c r="I55" s="7" t="s">
        <v>43</v>
      </c>
      <c r="J55" s="7" t="s">
        <v>142</v>
      </c>
      <c r="K55" s="7" t="s">
        <v>39</v>
      </c>
      <c r="L55" s="7"/>
      <c r="N55" s="2" t="str">
        <f t="shared" si="1"/>
        <v>Sales</v>
      </c>
      <c r="O55" s="6">
        <f>IFERROR(__xludf.DUMMYFUNCTION("IFERROR(
  IF(LEN(TRIM(B55))=6,
    DATE(2000+VALUE(RIGHT(TRIM(B55),2)),MATCH(LEFT(TRIM(B55),3),{""Jan"",""Feb"",""Mar"",""Apr"",""May"",""Jun"",""Jul"",""Aug"",""Sep"",""Oct"",""Nov"",""Dec""},0),15),
  IF(REGEXMATCH(TRIM(B55),""^\d{2}[/-]\d{2}[/-]\d{4}$"&amp;"""),
    DATE(VALUE(RIGHT(TRIM(B55),4)),VALUE(MID(TRIM(B55),4,2)),VALUE(LEFT(TRIM(B55),2))),
  DATEVALUE(TRIM(B55)))),
""CHECK"")"),45616.0)</f>
        <v>45616</v>
      </c>
      <c r="R55" s="2" t="str">
        <f t="shared" si="2"/>
        <v>Nov</v>
      </c>
      <c r="S55" s="2" t="str">
        <f t="shared" si="3"/>
        <v>Q4</v>
      </c>
      <c r="T55" s="2">
        <f t="shared" si="4"/>
        <v>6484.32</v>
      </c>
    </row>
    <row r="56">
      <c r="A56" s="5" t="s">
        <v>243</v>
      </c>
      <c r="B56" s="5" t="s">
        <v>244</v>
      </c>
      <c r="C56" s="5" t="s">
        <v>22</v>
      </c>
      <c r="D56" s="5" t="s">
        <v>23</v>
      </c>
      <c r="E56" s="5" t="s">
        <v>97</v>
      </c>
      <c r="F56" s="5" t="s">
        <v>245</v>
      </c>
      <c r="G56" s="5">
        <v>234800.48</v>
      </c>
      <c r="H56" s="5" t="s">
        <v>26</v>
      </c>
      <c r="I56" s="5" t="s">
        <v>72</v>
      </c>
      <c r="J56" s="5" t="s">
        <v>108</v>
      </c>
      <c r="K56" s="5" t="s">
        <v>59</v>
      </c>
      <c r="L56" s="5"/>
      <c r="N56" s="2" t="str">
        <f t="shared" si="1"/>
        <v>Sales</v>
      </c>
      <c r="O56" s="6">
        <f>IFERROR(__xludf.DUMMYFUNCTION("IFERROR(
  IF(LEN(TRIM(B56))=6,
    DATE(2000+VALUE(RIGHT(TRIM(B56),2)),MATCH(LEFT(TRIM(B56),3),{""Jan"",""Feb"",""Mar"",""Apr"",""May"",""Jun"",""Jul"",""Aug"",""Sep"",""Oct"",""Nov"",""Dec""},0),15),
  IF(REGEXMATCH(TRIM(B56),""^\d{2}[/-]\d{2}[/-]\d{4}$"&amp;"""),
    DATE(VALUE(RIGHT(TRIM(B56),4)),VALUE(MID(TRIM(B56),4,2)),VALUE(LEFT(TRIM(B56),2))),
  DATEVALUE(TRIM(B56)))),
""CHECK"")"),46211.0)</f>
        <v>46211</v>
      </c>
      <c r="R56" s="2" t="str">
        <f t="shared" si="2"/>
        <v>Jul</v>
      </c>
      <c r="S56" s="2" t="str">
        <f t="shared" si="3"/>
        <v>Q3</v>
      </c>
      <c r="T56" s="2">
        <f t="shared" si="4"/>
        <v>234800.48</v>
      </c>
    </row>
    <row r="57">
      <c r="A57" s="7" t="s">
        <v>246</v>
      </c>
      <c r="B57" s="7" t="s">
        <v>247</v>
      </c>
      <c r="C57" s="7" t="s">
        <v>22</v>
      </c>
      <c r="D57" s="7" t="s">
        <v>62</v>
      </c>
      <c r="E57" s="7" t="s">
        <v>97</v>
      </c>
      <c r="F57" s="7" t="s">
        <v>224</v>
      </c>
      <c r="G57" s="7">
        <v>11239.35</v>
      </c>
      <c r="H57" s="7" t="s">
        <v>26</v>
      </c>
      <c r="I57" s="7" t="s">
        <v>27</v>
      </c>
      <c r="J57" s="7" t="s">
        <v>66</v>
      </c>
      <c r="K57" s="7" t="s">
        <v>67</v>
      </c>
      <c r="L57" s="7"/>
      <c r="N57" s="2" t="str">
        <f t="shared" si="1"/>
        <v>Sales</v>
      </c>
      <c r="O57" s="6">
        <f>IFERROR(__xludf.DUMMYFUNCTION("IFERROR(
  IF(LEN(TRIM(B57))=6,
    DATE(2000+VALUE(RIGHT(TRIM(B57),2)),MATCH(LEFT(TRIM(B57),3),{""Jan"",""Feb"",""Mar"",""Apr"",""May"",""Jun"",""Jul"",""Aug"",""Sep"",""Oct"",""Nov"",""Dec""},0),15),
  IF(REGEXMATCH(TRIM(B57),""^\d{2}[/-]\d{2}[/-]\d{4}$"&amp;"""),
    DATE(VALUE(RIGHT(TRIM(B57),4)),VALUE(MID(TRIM(B57),4,2)),VALUE(LEFT(TRIM(B57),2))),
  DATEVALUE(TRIM(B57)))),
""CHECK"")"),45397.0)</f>
        <v>45397</v>
      </c>
      <c r="R57" s="2" t="str">
        <f t="shared" si="2"/>
        <v>Apr</v>
      </c>
      <c r="S57" s="2" t="str">
        <f t="shared" si="3"/>
        <v>Q2</v>
      </c>
      <c r="T57" s="2">
        <f t="shared" si="4"/>
        <v>11239.35</v>
      </c>
    </row>
    <row r="58">
      <c r="A58" s="5" t="s">
        <v>248</v>
      </c>
      <c r="B58" s="5" t="s">
        <v>249</v>
      </c>
      <c r="C58" s="5" t="s">
        <v>22</v>
      </c>
      <c r="D58" s="5" t="s">
        <v>85</v>
      </c>
      <c r="E58" s="5" t="s">
        <v>97</v>
      </c>
      <c r="F58" s="5" t="s">
        <v>250</v>
      </c>
      <c r="G58" s="5">
        <v>13928.63</v>
      </c>
      <c r="H58" s="5" t="s">
        <v>26</v>
      </c>
      <c r="I58" s="5" t="s">
        <v>137</v>
      </c>
      <c r="J58" s="5" t="s">
        <v>73</v>
      </c>
      <c r="K58" s="5" t="s">
        <v>59</v>
      </c>
      <c r="L58" s="5"/>
      <c r="N58" s="2" t="str">
        <f t="shared" si="1"/>
        <v>Sales</v>
      </c>
      <c r="O58" s="6">
        <f>IFERROR(__xludf.DUMMYFUNCTION("IFERROR(
  IF(LEN(TRIM(B58))=6,
    DATE(2000+VALUE(RIGHT(TRIM(B58),2)),MATCH(LEFT(TRIM(B58),3),{""Jan"",""Feb"",""Mar"",""Apr"",""May"",""Jun"",""Jul"",""Aug"",""Sep"",""Oct"",""Nov"",""Dec""},0),15),
  IF(REGEXMATCH(TRIM(B58),""^\d{2}[/-]\d{2}[/-]\d{4}$"&amp;"""),
    DATE(VALUE(RIGHT(TRIM(B58),4)),VALUE(MID(TRIM(B58),4,2)),VALUE(LEFT(TRIM(B58),2))),
  DATEVALUE(TRIM(B58)))),
""CHECK"")"),45545.0)</f>
        <v>45545</v>
      </c>
      <c r="R58" s="2" t="str">
        <f t="shared" si="2"/>
        <v>Sep</v>
      </c>
      <c r="S58" s="2" t="str">
        <f t="shared" si="3"/>
        <v>Q3</v>
      </c>
      <c r="T58" s="2">
        <f t="shared" si="4"/>
        <v>13928.63</v>
      </c>
    </row>
    <row r="59">
      <c r="A59" s="7" t="s">
        <v>251</v>
      </c>
      <c r="B59" s="7" t="s">
        <v>252</v>
      </c>
      <c r="C59" s="7" t="s">
        <v>22</v>
      </c>
      <c r="D59" s="7" t="s">
        <v>85</v>
      </c>
      <c r="E59" s="7" t="s">
        <v>111</v>
      </c>
      <c r="F59" s="7" t="s">
        <v>253</v>
      </c>
      <c r="G59" s="7">
        <v>50605.28</v>
      </c>
      <c r="H59" s="7" t="s">
        <v>26</v>
      </c>
      <c r="I59" s="7" t="s">
        <v>65</v>
      </c>
      <c r="J59" s="7" t="s">
        <v>66</v>
      </c>
      <c r="K59" s="7" t="s">
        <v>67</v>
      </c>
      <c r="L59" s="7"/>
      <c r="N59" s="2" t="str">
        <f t="shared" si="1"/>
        <v>Sales</v>
      </c>
      <c r="O59" s="6">
        <f>IFERROR(__xludf.DUMMYFUNCTION("IFERROR(
  IF(LEN(TRIM(B59))=6,
    DATE(2000+VALUE(RIGHT(TRIM(B59),2)),MATCH(LEFT(TRIM(B59),3),{""Jan"",""Feb"",""Mar"",""Apr"",""May"",""Jun"",""Jul"",""Aug"",""Sep"",""Oct"",""Nov"",""Dec""},0),15),
  IF(REGEXMATCH(TRIM(B59),""^\d{2}[/-]\d{2}[/-]\d{4}$"&amp;"""),
    DATE(VALUE(RIGHT(TRIM(B59),4)),VALUE(MID(TRIM(B59),4,2)),VALUE(LEFT(TRIM(B59),2))),
  DATEVALUE(TRIM(B59)))),
""CHECK"")"),45400.0)</f>
        <v>45400</v>
      </c>
      <c r="R59" s="2" t="str">
        <f t="shared" si="2"/>
        <v>Apr</v>
      </c>
      <c r="S59" s="2" t="str">
        <f t="shared" si="3"/>
        <v>Q2</v>
      </c>
      <c r="T59" s="2">
        <f t="shared" si="4"/>
        <v>50605.28</v>
      </c>
    </row>
    <row r="60">
      <c r="A60" s="5" t="s">
        <v>254</v>
      </c>
      <c r="B60" s="5" t="s">
        <v>255</v>
      </c>
      <c r="C60" s="5" t="s">
        <v>34</v>
      </c>
      <c r="D60" s="5" t="s">
        <v>31</v>
      </c>
      <c r="E60" s="5" t="s">
        <v>145</v>
      </c>
      <c r="F60" s="5" t="s">
        <v>256</v>
      </c>
      <c r="G60" s="5">
        <v>35318.3</v>
      </c>
      <c r="H60" s="5" t="s">
        <v>26</v>
      </c>
      <c r="I60" s="5" t="s">
        <v>231</v>
      </c>
      <c r="J60" s="5" t="s">
        <v>58</v>
      </c>
      <c r="K60" s="5" t="s">
        <v>59</v>
      </c>
      <c r="L60" s="5"/>
      <c r="N60" s="2" t="str">
        <f t="shared" si="1"/>
        <v>Cloud Infrastructure</v>
      </c>
      <c r="O60" s="6">
        <f>IFERROR(__xludf.DUMMYFUNCTION("IFERROR(
  IF(LEN(TRIM(B60))=6,
    DATE(2000+VALUE(RIGHT(TRIM(B60),2)),MATCH(LEFT(TRIM(B60),3),{""Jan"",""Feb"",""Mar"",""Apr"",""May"",""Jun"",""Jul"",""Aug"",""Sep"",""Oct"",""Nov"",""Dec""},0),15),
  IF(REGEXMATCH(TRIM(B60),""^\d{2}[/-]\d{2}[/-]\d{4}$"&amp;"""),
    DATE(VALUE(RIGHT(TRIM(B60),4)),VALUE(MID(TRIM(B60),4,2)),VALUE(LEFT(TRIM(B60),2))),
  DATEVALUE(TRIM(B60)))),
""CHECK"")"),45480.0)</f>
        <v>45480</v>
      </c>
      <c r="R60" s="2" t="str">
        <f t="shared" si="2"/>
        <v>Jul</v>
      </c>
      <c r="S60" s="2" t="str">
        <f t="shared" si="3"/>
        <v>Q3</v>
      </c>
      <c r="T60" s="2">
        <f t="shared" si="4"/>
        <v>35318.3</v>
      </c>
    </row>
    <row r="61">
      <c r="A61" s="7" t="s">
        <v>257</v>
      </c>
      <c r="B61" s="7" t="s">
        <v>89</v>
      </c>
      <c r="C61" s="7" t="s">
        <v>22</v>
      </c>
      <c r="D61" s="7" t="s">
        <v>62</v>
      </c>
      <c r="E61" s="7" t="s">
        <v>24</v>
      </c>
      <c r="F61" s="7" t="s">
        <v>64</v>
      </c>
      <c r="G61" s="7">
        <v>9224.9</v>
      </c>
      <c r="H61" s="7" t="s">
        <v>26</v>
      </c>
      <c r="I61" s="7" t="s">
        <v>65</v>
      </c>
      <c r="J61" s="7" t="s">
        <v>73</v>
      </c>
      <c r="K61" s="7" t="s">
        <v>59</v>
      </c>
      <c r="L61" s="7"/>
      <c r="N61" s="2" t="str">
        <f t="shared" si="1"/>
        <v>Sales</v>
      </c>
      <c r="O61" s="6">
        <f>IFERROR(__xludf.DUMMYFUNCTION("IFERROR(
  IF(LEN(TRIM(B61))=6,
    DATE(2000+VALUE(RIGHT(TRIM(B61),2)),MATCH(LEFT(TRIM(B61),3),{""Jan"",""Feb"",""Mar"",""Apr"",""May"",""Jun"",""Jul"",""Aug"",""Sep"",""Oct"",""Nov"",""Dec""},0),15),
  IF(REGEXMATCH(TRIM(B61),""^\d{2}[/-]\d{2}[/-]\d{4}$"&amp;"""),
    DATE(VALUE(RIGHT(TRIM(B61),4)),VALUE(MID(TRIM(B61),4,2)),VALUE(LEFT(TRIM(B61),2))),
  DATEVALUE(TRIM(B61)))),
""CHECK"")"),45550.0)</f>
        <v>45550</v>
      </c>
      <c r="R61" s="2" t="str">
        <f t="shared" si="2"/>
        <v>Sep</v>
      </c>
      <c r="S61" s="2" t="str">
        <f t="shared" si="3"/>
        <v>Q3</v>
      </c>
      <c r="T61" s="2">
        <f t="shared" si="4"/>
        <v>9224.9</v>
      </c>
    </row>
    <row r="62">
      <c r="A62" s="5" t="s">
        <v>258</v>
      </c>
      <c r="B62" s="5" t="s">
        <v>259</v>
      </c>
      <c r="C62" s="5" t="s">
        <v>34</v>
      </c>
      <c r="D62" s="5" t="s">
        <v>54</v>
      </c>
      <c r="E62" s="5" t="s">
        <v>55</v>
      </c>
      <c r="F62" s="5" t="s">
        <v>260</v>
      </c>
      <c r="G62" s="5">
        <v>49650.39</v>
      </c>
      <c r="H62" s="5" t="s">
        <v>26</v>
      </c>
      <c r="I62" s="5" t="s">
        <v>93</v>
      </c>
      <c r="J62" s="5" t="s">
        <v>142</v>
      </c>
      <c r="K62" s="5" t="s">
        <v>39</v>
      </c>
      <c r="L62" s="5"/>
      <c r="N62" s="2" t="str">
        <f t="shared" si="1"/>
        <v>Marketing</v>
      </c>
      <c r="O62" s="6">
        <f>IFERROR(__xludf.DUMMYFUNCTION("IFERROR(
  IF(LEN(TRIM(B62))=6,
    DATE(2000+VALUE(RIGHT(TRIM(B62),2)),MATCH(LEFT(TRIM(B62),3),{""Jan"",""Feb"",""Mar"",""Apr"",""May"",""Jun"",""Jul"",""Aug"",""Sep"",""Oct"",""Nov"",""Dec""},0),15),
  IF(REGEXMATCH(TRIM(B62),""^\d{2}[/-]\d{2}[/-]\d{4}$"&amp;"""),
    DATE(VALUE(RIGHT(TRIM(B62),4)),VALUE(MID(TRIM(B62),4,2)),VALUE(LEFT(TRIM(B62),2))),
  DATEVALUE(TRIM(B62)))),
""CHECK"")"),45758.0)</f>
        <v>45758</v>
      </c>
      <c r="R62" s="2" t="str">
        <f t="shared" si="2"/>
        <v>Apr</v>
      </c>
      <c r="S62" s="2" t="str">
        <f t="shared" si="3"/>
        <v>Q2</v>
      </c>
      <c r="T62" s="2">
        <f t="shared" si="4"/>
        <v>49650.39</v>
      </c>
    </row>
    <row r="63">
      <c r="A63" s="7" t="s">
        <v>261</v>
      </c>
      <c r="B63" s="7" t="s">
        <v>239</v>
      </c>
      <c r="C63" s="7" t="s">
        <v>34</v>
      </c>
      <c r="D63" s="7" t="s">
        <v>82</v>
      </c>
      <c r="E63" s="7" t="s">
        <v>82</v>
      </c>
      <c r="F63" s="7" t="s">
        <v>140</v>
      </c>
      <c r="G63" s="7">
        <v>16137.19</v>
      </c>
      <c r="H63" s="7" t="s">
        <v>26</v>
      </c>
      <c r="I63" s="7" t="s">
        <v>141</v>
      </c>
      <c r="J63" s="7" t="s">
        <v>38</v>
      </c>
      <c r="K63" s="7" t="s">
        <v>39</v>
      </c>
      <c r="L63" s="7"/>
      <c r="N63" s="2" t="str">
        <f t="shared" si="1"/>
        <v>Engineering</v>
      </c>
      <c r="O63" s="6">
        <f>IFERROR(__xludf.DUMMYFUNCTION("IFERROR(
  IF(LEN(TRIM(B63))=6,
    DATE(2000+VALUE(RIGHT(TRIM(B63),2)),MATCH(LEFT(TRIM(B63),3),{""Jan"",""Feb"",""Mar"",""Apr"",""May"",""Jun"",""Jul"",""Aug"",""Sep"",""Oct"",""Nov"",""Dec""},0),15),
  IF(REGEXMATCH(TRIM(B63),""^\d{2}[/-]\d{2}[/-]\d{4}$"&amp;"""),
    DATE(VALUE(RIGHT(TRIM(B63),4)),VALUE(MID(TRIM(B63),4,2)),VALUE(LEFT(TRIM(B63),2))),
  DATEVALUE(TRIM(B63)))),
""CHECK"")"),45641.0)</f>
        <v>45641</v>
      </c>
      <c r="R63" s="2" t="str">
        <f t="shared" si="2"/>
        <v>Dec</v>
      </c>
      <c r="S63" s="2" t="str">
        <f t="shared" si="3"/>
        <v>Q4</v>
      </c>
      <c r="T63" s="2">
        <f t="shared" si="4"/>
        <v>16137.19</v>
      </c>
    </row>
    <row r="64">
      <c r="A64" s="5" t="s">
        <v>262</v>
      </c>
      <c r="B64" s="5" t="s">
        <v>263</v>
      </c>
      <c r="C64" s="5" t="s">
        <v>22</v>
      </c>
      <c r="D64" s="5" t="s">
        <v>62</v>
      </c>
      <c r="E64" s="5" t="s">
        <v>111</v>
      </c>
      <c r="F64" s="5" t="s">
        <v>264</v>
      </c>
      <c r="G64" s="5">
        <v>8576.04</v>
      </c>
      <c r="H64" s="5" t="s">
        <v>26</v>
      </c>
      <c r="I64" s="5" t="s">
        <v>72</v>
      </c>
      <c r="J64" s="5" t="s">
        <v>66</v>
      </c>
      <c r="K64" s="5" t="s">
        <v>67</v>
      </c>
      <c r="L64" s="5"/>
      <c r="N64" s="2" t="str">
        <f t="shared" si="1"/>
        <v>Sales</v>
      </c>
      <c r="O64" s="6">
        <f>IFERROR(__xludf.DUMMYFUNCTION("IFERROR(
  IF(LEN(TRIM(B64))=6,
    DATE(2000+VALUE(RIGHT(TRIM(B64),2)),MATCH(LEFT(TRIM(B64),3),{""Jan"",""Feb"",""Mar"",""Apr"",""May"",""Jun"",""Jul"",""Aug"",""Sep"",""Oct"",""Nov"",""Dec""},0),15),
  IF(REGEXMATCH(TRIM(B64),""^\d{2}[/-]\d{2}[/-]\d{4}$"&amp;"""),
    DATE(VALUE(RIGHT(TRIM(B64),4)),VALUE(MID(TRIM(B64),4,2)),VALUE(LEFT(TRIM(B64),2))),
  DATEVALUE(TRIM(B64)))),
""CHECK"")"),45387.0)</f>
        <v>45387</v>
      </c>
      <c r="R64" s="2" t="str">
        <f t="shared" si="2"/>
        <v>Apr</v>
      </c>
      <c r="S64" s="2" t="str">
        <f t="shared" si="3"/>
        <v>Q2</v>
      </c>
      <c r="T64" s="2">
        <f t="shared" si="4"/>
        <v>8576.04</v>
      </c>
    </row>
    <row r="65">
      <c r="A65" s="7" t="s">
        <v>265</v>
      </c>
      <c r="B65" s="7" t="s">
        <v>239</v>
      </c>
      <c r="C65" s="7" t="s">
        <v>22</v>
      </c>
      <c r="D65" s="7" t="s">
        <v>62</v>
      </c>
      <c r="E65" s="7" t="s">
        <v>111</v>
      </c>
      <c r="F65" s="7" t="s">
        <v>264</v>
      </c>
      <c r="G65" s="7">
        <v>10361.24</v>
      </c>
      <c r="H65" s="7" t="s">
        <v>26</v>
      </c>
      <c r="I65" s="7" t="s">
        <v>65</v>
      </c>
      <c r="J65" s="7" t="s">
        <v>38</v>
      </c>
      <c r="K65" s="7" t="s">
        <v>39</v>
      </c>
      <c r="L65" s="7"/>
      <c r="N65" s="2" t="str">
        <f t="shared" si="1"/>
        <v>Sales</v>
      </c>
      <c r="O65" s="6">
        <f>IFERROR(__xludf.DUMMYFUNCTION("IFERROR(
  IF(LEN(TRIM(B65))=6,
    DATE(2000+VALUE(RIGHT(TRIM(B65),2)),MATCH(LEFT(TRIM(B65),3),{""Jan"",""Feb"",""Mar"",""Apr"",""May"",""Jun"",""Jul"",""Aug"",""Sep"",""Oct"",""Nov"",""Dec""},0),15),
  IF(REGEXMATCH(TRIM(B65),""^\d{2}[/-]\d{2}[/-]\d{4}$"&amp;"""),
    DATE(VALUE(RIGHT(TRIM(B65),4)),VALUE(MID(TRIM(B65),4,2)),VALUE(LEFT(TRIM(B65),2))),
  DATEVALUE(TRIM(B65)))),
""CHECK"")"),45641.0)</f>
        <v>45641</v>
      </c>
      <c r="R65" s="2" t="str">
        <f t="shared" si="2"/>
        <v>Dec</v>
      </c>
      <c r="S65" s="2" t="str">
        <f t="shared" si="3"/>
        <v>Q4</v>
      </c>
      <c r="T65" s="2">
        <f t="shared" si="4"/>
        <v>10361.24</v>
      </c>
    </row>
    <row r="66">
      <c r="A66" s="5" t="s">
        <v>266</v>
      </c>
      <c r="B66" s="5" t="s">
        <v>267</v>
      </c>
      <c r="C66" s="5" t="s">
        <v>34</v>
      </c>
      <c r="D66" s="5" t="s">
        <v>82</v>
      </c>
      <c r="E66" s="5" t="s">
        <v>99</v>
      </c>
      <c r="F66" s="5" t="s">
        <v>107</v>
      </c>
      <c r="G66" s="5">
        <v>38468.72</v>
      </c>
      <c r="H66" s="5" t="s">
        <v>26</v>
      </c>
      <c r="I66" s="5" t="s">
        <v>37</v>
      </c>
      <c r="J66" s="5" t="s">
        <v>87</v>
      </c>
      <c r="K66" s="5" t="s">
        <v>67</v>
      </c>
      <c r="L66" s="5"/>
      <c r="N66" s="2" t="str">
        <f t="shared" si="1"/>
        <v>Engineering</v>
      </c>
      <c r="O66" s="6">
        <f>IFERROR(__xludf.DUMMYFUNCTION("IFERROR(
  IF(LEN(TRIM(B66))=6,
    DATE(2000+VALUE(RIGHT(TRIM(B66),2)),MATCH(LEFT(TRIM(B66),3),{""Jan"",""Feb"",""Mar"",""Apr"",""May"",""Jun"",""Jul"",""Aug"",""Sep"",""Oct"",""Nov"",""Dec""},0),15),
  IF(REGEXMATCH(TRIM(B66),""^\d{2}[/-]\d{2}[/-]\d{4}$"&amp;"""),
    DATE(VALUE(RIGHT(TRIM(B66),4)),VALUE(MID(TRIM(B66),4,2)),VALUE(LEFT(TRIM(B66),2))),
  DATEVALUE(TRIM(B66)))),
""CHECK"")"),45430.0)</f>
        <v>45430</v>
      </c>
      <c r="R66" s="2" t="str">
        <f t="shared" si="2"/>
        <v>May</v>
      </c>
      <c r="S66" s="2" t="str">
        <f t="shared" si="3"/>
        <v>Q2</v>
      </c>
      <c r="T66" s="2">
        <f t="shared" si="4"/>
        <v>38468.72</v>
      </c>
    </row>
    <row r="67">
      <c r="A67" s="7" t="s">
        <v>268</v>
      </c>
      <c r="B67" s="7" t="s">
        <v>269</v>
      </c>
      <c r="C67" s="7" t="s">
        <v>22</v>
      </c>
      <c r="D67" s="7" t="s">
        <v>85</v>
      </c>
      <c r="E67" s="7" t="s">
        <v>24</v>
      </c>
      <c r="F67" s="7" t="s">
        <v>253</v>
      </c>
      <c r="G67" s="7">
        <v>12245.36</v>
      </c>
      <c r="H67" s="7" t="s">
        <v>26</v>
      </c>
      <c r="I67" s="7" t="s">
        <v>72</v>
      </c>
      <c r="J67" s="7" t="s">
        <v>38</v>
      </c>
      <c r="K67" s="7" t="s">
        <v>39</v>
      </c>
      <c r="L67" s="7"/>
      <c r="N67" s="2" t="str">
        <f t="shared" si="1"/>
        <v>Sales</v>
      </c>
      <c r="O67" s="6">
        <f>IFERROR(__xludf.DUMMYFUNCTION("IFERROR(
  IF(LEN(TRIM(B67))=6,
    DATE(2000+VALUE(RIGHT(TRIM(B67),2)),MATCH(LEFT(TRIM(B67),3),{""Jan"",""Feb"",""Mar"",""Apr"",""May"",""Jun"",""Jul"",""Aug"",""Sep"",""Oct"",""Nov"",""Dec""},0),15),
  IF(REGEXMATCH(TRIM(B67),""^\d{2}[/-]\d{2}[/-]\d{4}$"&amp;"""),
    DATE(VALUE(RIGHT(TRIM(B67),4)),VALUE(MID(TRIM(B67),4,2)),VALUE(LEFT(TRIM(B67),2))),
  DATEVALUE(TRIM(B67)))),
""CHECK"")"),46154.0)</f>
        <v>46154</v>
      </c>
      <c r="R67" s="2" t="str">
        <f t="shared" si="2"/>
        <v>May</v>
      </c>
      <c r="S67" s="2" t="str">
        <f t="shared" si="3"/>
        <v>Q2</v>
      </c>
      <c r="T67" s="2">
        <f t="shared" si="4"/>
        <v>12245.36</v>
      </c>
    </row>
    <row r="68">
      <c r="A68" s="5" t="s">
        <v>270</v>
      </c>
      <c r="B68" s="5" t="s">
        <v>271</v>
      </c>
      <c r="C68" s="5" t="s">
        <v>22</v>
      </c>
      <c r="D68" s="5" t="s">
        <v>85</v>
      </c>
      <c r="E68" s="5" t="s">
        <v>97</v>
      </c>
      <c r="F68" s="5" t="s">
        <v>272</v>
      </c>
      <c r="G68" s="5">
        <v>5237.29</v>
      </c>
      <c r="H68" s="5" t="s">
        <v>26</v>
      </c>
      <c r="I68" s="5" t="s">
        <v>65</v>
      </c>
      <c r="J68" s="5" t="s">
        <v>58</v>
      </c>
      <c r="K68" s="5" t="s">
        <v>59</v>
      </c>
      <c r="L68" s="5"/>
      <c r="N68" s="2" t="str">
        <f t="shared" si="1"/>
        <v>Sales</v>
      </c>
      <c r="O68" s="6">
        <f>IFERROR(__xludf.DUMMYFUNCTION("IFERROR(
  IF(LEN(TRIM(B68))=6,
    DATE(2000+VALUE(RIGHT(TRIM(B68),2)),MATCH(LEFT(TRIM(B68),3),{""Jan"",""Feb"",""Mar"",""Apr"",""May"",""Jun"",""Jul"",""Aug"",""Sep"",""Oct"",""Nov"",""Dec""},0),15),
  IF(REGEXMATCH(TRIM(B68),""^\d{2}[/-]\d{2}[/-]\d{4}$"&amp;"""),
    DATE(VALUE(RIGHT(TRIM(B68),4)),VALUE(MID(TRIM(B68),4,2)),VALUE(LEFT(TRIM(B68),2))),
  DATEVALUE(TRIM(B68)))),
""CHECK"")"),45603.0)</f>
        <v>45603</v>
      </c>
      <c r="R68" s="2" t="str">
        <f t="shared" si="2"/>
        <v>Nov</v>
      </c>
      <c r="S68" s="2" t="str">
        <f t="shared" si="3"/>
        <v>Q4</v>
      </c>
      <c r="T68" s="2">
        <f t="shared" si="4"/>
        <v>5237.29</v>
      </c>
    </row>
    <row r="69">
      <c r="A69" s="7" t="s">
        <v>273</v>
      </c>
      <c r="B69" s="7" t="s">
        <v>274</v>
      </c>
      <c r="C69" s="7" t="s">
        <v>22</v>
      </c>
      <c r="D69" s="7" t="s">
        <v>23</v>
      </c>
      <c r="E69" s="7" t="s">
        <v>97</v>
      </c>
      <c r="F69" s="7" t="s">
        <v>275</v>
      </c>
      <c r="G69" s="7">
        <v>176379.84</v>
      </c>
      <c r="H69" s="7" t="s">
        <v>26</v>
      </c>
      <c r="I69" s="7" t="s">
        <v>129</v>
      </c>
      <c r="J69" s="7" t="s">
        <v>49</v>
      </c>
      <c r="K69" s="7" t="s">
        <v>39</v>
      </c>
      <c r="L69" s="7"/>
      <c r="N69" s="2" t="str">
        <f t="shared" si="1"/>
        <v>Sales</v>
      </c>
      <c r="O69" s="6">
        <f>IFERROR(__xludf.DUMMYFUNCTION("IFERROR(
  IF(LEN(TRIM(B69))=6,
    DATE(2000+VALUE(RIGHT(TRIM(B69),2)),MATCH(LEFT(TRIM(B69),3),{""Jan"",""Feb"",""Mar"",""Apr"",""May"",""Jun"",""Jul"",""Aug"",""Sep"",""Oct"",""Nov"",""Dec""},0),15),
  IF(REGEXMATCH(TRIM(B69),""^\d{2}[/-]\d{2}[/-]\d{4}$"&amp;"""),
    DATE(VALUE(RIGHT(TRIM(B69),4)),VALUE(MID(TRIM(B69),4,2)),VALUE(LEFT(TRIM(B69),2))),
  DATEVALUE(TRIM(B69)))),
""CHECK"")"),45578.0)</f>
        <v>45578</v>
      </c>
      <c r="R69" s="2" t="str">
        <f t="shared" si="2"/>
        <v>Oct</v>
      </c>
      <c r="S69" s="2" t="str">
        <f t="shared" si="3"/>
        <v>Q4</v>
      </c>
      <c r="T69" s="2">
        <f t="shared" si="4"/>
        <v>176379.84</v>
      </c>
    </row>
    <row r="70">
      <c r="A70" s="5" t="s">
        <v>276</v>
      </c>
      <c r="B70" s="5" t="s">
        <v>277</v>
      </c>
      <c r="C70" s="5" t="s">
        <v>34</v>
      </c>
      <c r="D70" s="5" t="s">
        <v>31</v>
      </c>
      <c r="E70" s="5" t="s">
        <v>35</v>
      </c>
      <c r="F70" s="5" t="s">
        <v>278</v>
      </c>
      <c r="G70" s="5">
        <v>20825.33</v>
      </c>
      <c r="H70" s="5" t="s">
        <v>26</v>
      </c>
      <c r="I70" s="5" t="s">
        <v>206</v>
      </c>
      <c r="J70" s="5" t="s">
        <v>87</v>
      </c>
      <c r="K70" s="5" t="s">
        <v>67</v>
      </c>
      <c r="L70" s="5"/>
      <c r="N70" s="2" t="str">
        <f t="shared" si="1"/>
        <v>Cloud Infrastructure</v>
      </c>
      <c r="O70" s="6">
        <f>IFERROR(__xludf.DUMMYFUNCTION("IFERROR(
  IF(LEN(TRIM(B70))=6,
    DATE(2000+VALUE(RIGHT(TRIM(B70),2)),MATCH(LEFT(TRIM(B70),3),{""Jan"",""Feb"",""Mar"",""Apr"",""May"",""Jun"",""Jul"",""Aug"",""Sep"",""Oct"",""Nov"",""Dec""},0),15),
  IF(REGEXMATCH(TRIM(B70),""^\d{2}[/-]\d{2}[/-]\d{4}$"&amp;"""),
    DATE(VALUE(RIGHT(TRIM(B70),4)),VALUE(MID(TRIM(B70),4,2)),VALUE(LEFT(TRIM(B70),2))),
  DATEVALUE(TRIM(B70)))),
""CHECK"")"),45441.0)</f>
        <v>45441</v>
      </c>
      <c r="R70" s="2" t="str">
        <f t="shared" si="2"/>
        <v>May</v>
      </c>
      <c r="S70" s="2" t="str">
        <f t="shared" si="3"/>
        <v>Q2</v>
      </c>
      <c r="T70" s="2">
        <f t="shared" si="4"/>
        <v>20825.33</v>
      </c>
    </row>
    <row r="71">
      <c r="A71" s="7" t="s">
        <v>279</v>
      </c>
      <c r="B71" s="7" t="s">
        <v>280</v>
      </c>
      <c r="C71" s="7" t="s">
        <v>22</v>
      </c>
      <c r="D71" s="7" t="s">
        <v>85</v>
      </c>
      <c r="E71" s="7" t="s">
        <v>63</v>
      </c>
      <c r="F71" s="7" t="s">
        <v>281</v>
      </c>
      <c r="G71" s="7">
        <v>4920.56</v>
      </c>
      <c r="H71" s="7" t="s">
        <v>26</v>
      </c>
      <c r="I71" s="7" t="s">
        <v>134</v>
      </c>
      <c r="J71" s="7" t="s">
        <v>113</v>
      </c>
      <c r="K71" s="7" t="s">
        <v>67</v>
      </c>
      <c r="L71" s="7"/>
      <c r="N71" s="2" t="str">
        <f t="shared" si="1"/>
        <v>Sales</v>
      </c>
      <c r="O71" s="6">
        <f>IFERROR(__xludf.DUMMYFUNCTION("IFERROR(
  IF(LEN(TRIM(B71))=6,
    DATE(2000+VALUE(RIGHT(TRIM(B71),2)),MATCH(LEFT(TRIM(B71),3),{""Jan"",""Feb"",""Mar"",""Apr"",""May"",""Jun"",""Jul"",""Aug"",""Sep"",""Oct"",""Nov"",""Dec""},0),15),
  IF(REGEXMATCH(TRIM(B71),""^\d{2}[/-]\d{2}[/-]\d{4}$"&amp;"""),
    DATE(VALUE(RIGHT(TRIM(B71),4)),VALUE(MID(TRIM(B71),4,2)),VALUE(LEFT(TRIM(B71),2))),
  DATEVALUE(TRIM(B71)))),
""CHECK"")"),45457.0)</f>
        <v>45457</v>
      </c>
      <c r="R71" s="2" t="str">
        <f t="shared" si="2"/>
        <v>Jun</v>
      </c>
      <c r="S71" s="2" t="str">
        <f t="shared" si="3"/>
        <v>Q2</v>
      </c>
      <c r="T71" s="2">
        <f t="shared" si="4"/>
        <v>4920.56</v>
      </c>
    </row>
    <row r="72">
      <c r="A72" s="5" t="s">
        <v>282</v>
      </c>
      <c r="B72" s="5" t="s">
        <v>283</v>
      </c>
      <c r="C72" s="5" t="s">
        <v>22</v>
      </c>
      <c r="D72" s="5" t="s">
        <v>62</v>
      </c>
      <c r="E72" s="5" t="s">
        <v>24</v>
      </c>
      <c r="F72" s="5" t="s">
        <v>284</v>
      </c>
      <c r="G72" s="5">
        <v>9013.03</v>
      </c>
      <c r="H72" s="5" t="s">
        <v>26</v>
      </c>
      <c r="I72" s="5" t="s">
        <v>27</v>
      </c>
      <c r="J72" s="5" t="s">
        <v>49</v>
      </c>
      <c r="K72" s="5" t="s">
        <v>39</v>
      </c>
      <c r="L72" s="5"/>
      <c r="N72" s="2" t="str">
        <f t="shared" si="1"/>
        <v>Sales</v>
      </c>
      <c r="O72" s="6">
        <f>IFERROR(__xludf.DUMMYFUNCTION("IFERROR(
  IF(LEN(TRIM(B72))=6,
    DATE(2000+VALUE(RIGHT(TRIM(B72),2)),MATCH(LEFT(TRIM(B72),3),{""Jan"",""Feb"",""Mar"",""Apr"",""May"",""Jun"",""Jul"",""Aug"",""Sep"",""Oct"",""Nov"",""Dec""},0),15),
  IF(REGEXMATCH(TRIM(B72),""^\d{2}[/-]\d{2}[/-]\d{4}$"&amp;"""),
    DATE(VALUE(RIGHT(TRIM(B72),4)),VALUE(MID(TRIM(B72),4,2)),VALUE(LEFT(TRIM(B72),2))),
  DATEVALUE(TRIM(B72)))),
""CHECK"")"),45586.0)</f>
        <v>45586</v>
      </c>
      <c r="R72" s="2" t="str">
        <f t="shared" si="2"/>
        <v>Oct</v>
      </c>
      <c r="S72" s="2" t="str">
        <f t="shared" si="3"/>
        <v>Q4</v>
      </c>
      <c r="T72" s="2">
        <f t="shared" si="4"/>
        <v>9013.03</v>
      </c>
    </row>
    <row r="73">
      <c r="A73" s="7" t="s">
        <v>285</v>
      </c>
      <c r="B73" s="7" t="s">
        <v>286</v>
      </c>
      <c r="C73" s="7" t="s">
        <v>34</v>
      </c>
      <c r="D73" s="7" t="s">
        <v>90</v>
      </c>
      <c r="E73" s="7" t="s">
        <v>90</v>
      </c>
      <c r="F73" s="7" t="s">
        <v>287</v>
      </c>
      <c r="G73" s="7">
        <v>12676.86</v>
      </c>
      <c r="H73" s="7" t="s">
        <v>26</v>
      </c>
      <c r="I73" s="7" t="s">
        <v>80</v>
      </c>
      <c r="J73" s="7" t="s">
        <v>108</v>
      </c>
      <c r="K73" s="7" t="s">
        <v>59</v>
      </c>
      <c r="L73" s="7"/>
      <c r="N73" s="2" t="str">
        <f t="shared" si="1"/>
        <v>G&amp;A</v>
      </c>
      <c r="O73" s="6">
        <f>IFERROR(__xludf.DUMMYFUNCTION("IFERROR(
  IF(LEN(TRIM(B73))=6,
    DATE(2000+VALUE(RIGHT(TRIM(B73),2)),MATCH(LEFT(TRIM(B73),3),{""Jan"",""Feb"",""Mar"",""Apr"",""May"",""Jun"",""Jul"",""Aug"",""Sep"",""Oct"",""Nov"",""Dec""},0),15),
  IF(REGEXMATCH(TRIM(B73),""^\d{2}[/-]\d{2}[/-]\d{4}$"&amp;"""),
    DATE(VALUE(RIGHT(TRIM(B73),4)),VALUE(MID(TRIM(B73),4,2)),VALUE(LEFT(TRIM(B73),2))),
  DATEVALUE(TRIM(B73)))),
""CHECK"")"),45513.0)</f>
        <v>45513</v>
      </c>
      <c r="R73" s="2" t="str">
        <f t="shared" si="2"/>
        <v>Aug</v>
      </c>
      <c r="S73" s="2" t="str">
        <f t="shared" si="3"/>
        <v>Q3</v>
      </c>
      <c r="T73" s="2">
        <f t="shared" si="4"/>
        <v>12676.86</v>
      </c>
    </row>
    <row r="74">
      <c r="A74" s="5" t="s">
        <v>288</v>
      </c>
      <c r="B74" s="5" t="s">
        <v>289</v>
      </c>
      <c r="C74" s="5" t="s">
        <v>34</v>
      </c>
      <c r="D74" s="5" t="s">
        <v>31</v>
      </c>
      <c r="E74" s="5" t="s">
        <v>145</v>
      </c>
      <c r="F74" s="5" t="s">
        <v>290</v>
      </c>
      <c r="G74" s="5">
        <v>25409.61</v>
      </c>
      <c r="H74" s="5" t="s">
        <v>26</v>
      </c>
      <c r="I74" s="5" t="s">
        <v>48</v>
      </c>
      <c r="J74" s="5" t="s">
        <v>44</v>
      </c>
      <c r="K74" s="5" t="s">
        <v>29</v>
      </c>
      <c r="L74" s="5"/>
      <c r="N74" s="2" t="str">
        <f t="shared" si="1"/>
        <v>Cloud Infrastructure</v>
      </c>
      <c r="O74" s="6">
        <f>IFERROR(__xludf.DUMMYFUNCTION("IFERROR(
  IF(LEN(TRIM(B74))=6,
    DATE(2000+VALUE(RIGHT(TRIM(B74),2)),MATCH(LEFT(TRIM(B74),3),{""Jan"",""Feb"",""Mar"",""Apr"",""May"",""Jun"",""Jul"",""Aug"",""Sep"",""Oct"",""Nov"",""Dec""},0),15),
  IF(REGEXMATCH(TRIM(B74),""^\d{2}[/-]\d{2}[/-]\d{4}$"&amp;"""),
    DATE(VALUE(RIGHT(TRIM(B74),4)),VALUE(MID(TRIM(B74),4,2)),VALUE(LEFT(TRIM(B74),2))),
  DATEVALUE(TRIM(B74)))),
""CHECK"")"),45811.0)</f>
        <v>45811</v>
      </c>
      <c r="R74" s="2" t="str">
        <f t="shared" si="2"/>
        <v>Jun</v>
      </c>
      <c r="S74" s="2" t="str">
        <f t="shared" si="3"/>
        <v>Q2</v>
      </c>
      <c r="T74" s="2">
        <f t="shared" si="4"/>
        <v>25409.61</v>
      </c>
    </row>
    <row r="75">
      <c r="A75" s="7" t="s">
        <v>291</v>
      </c>
      <c r="B75" s="7" t="s">
        <v>292</v>
      </c>
      <c r="C75" s="7" t="s">
        <v>34</v>
      </c>
      <c r="D75" s="7" t="s">
        <v>90</v>
      </c>
      <c r="E75" s="7" t="s">
        <v>104</v>
      </c>
      <c r="F75" s="7" t="s">
        <v>293</v>
      </c>
      <c r="G75" s="7">
        <v>16961.28</v>
      </c>
      <c r="H75" s="7" t="s">
        <v>26</v>
      </c>
      <c r="I75" s="7" t="s">
        <v>206</v>
      </c>
      <c r="J75" s="7" t="s">
        <v>108</v>
      </c>
      <c r="K75" s="7" t="s">
        <v>59</v>
      </c>
      <c r="L75" s="7"/>
      <c r="N75" s="2" t="str">
        <f t="shared" si="1"/>
        <v>G&amp;A</v>
      </c>
      <c r="O75" s="6">
        <f>IFERROR(__xludf.DUMMYFUNCTION("IFERROR(
  IF(LEN(TRIM(B75))=6,
    DATE(2000+VALUE(RIGHT(TRIM(B75),2)),MATCH(LEFT(TRIM(B75),3),{""Jan"",""Feb"",""Mar"",""Apr"",""May"",""Jun"",""Jul"",""Aug"",""Sep"",""Oct"",""Nov"",""Dec""},0),15),
  IF(REGEXMATCH(TRIM(B75),""^\d{2}[/-]\d{2}[/-]\d{4}$"&amp;"""),
    DATE(VALUE(RIGHT(TRIM(B75),4)),VALUE(MID(TRIM(B75),4,2)),VALUE(LEFT(TRIM(B75),2))),
  DATEVALUE(TRIM(B75)))),
""CHECK"")"),45523.0)</f>
        <v>45523</v>
      </c>
      <c r="R75" s="2" t="str">
        <f t="shared" si="2"/>
        <v>Aug</v>
      </c>
      <c r="S75" s="2" t="str">
        <f t="shared" si="3"/>
        <v>Q3</v>
      </c>
      <c r="T75" s="2">
        <f t="shared" si="4"/>
        <v>16961.28</v>
      </c>
    </row>
    <row r="76">
      <c r="A76" s="5" t="s">
        <v>294</v>
      </c>
      <c r="B76" s="5" t="s">
        <v>295</v>
      </c>
      <c r="C76" s="5" t="s">
        <v>34</v>
      </c>
      <c r="D76" s="5" t="s">
        <v>54</v>
      </c>
      <c r="E76" s="5" t="s">
        <v>130</v>
      </c>
      <c r="F76" s="5" t="s">
        <v>183</v>
      </c>
      <c r="G76" s="5">
        <v>56546.05</v>
      </c>
      <c r="H76" s="5" t="s">
        <v>26</v>
      </c>
      <c r="I76" s="5" t="s">
        <v>37</v>
      </c>
      <c r="J76" s="5" t="s">
        <v>87</v>
      </c>
      <c r="K76" s="5" t="s">
        <v>67</v>
      </c>
      <c r="L76" s="5"/>
      <c r="N76" s="2" t="str">
        <f t="shared" si="1"/>
        <v>Marketing</v>
      </c>
      <c r="O76" s="6">
        <f>IFERROR(__xludf.DUMMYFUNCTION("IFERROR(
  IF(LEN(TRIM(B76))=6,
    DATE(2000+VALUE(RIGHT(TRIM(B76),2)),MATCH(LEFT(TRIM(B76),3),{""Jan"",""Feb"",""Mar"",""Apr"",""May"",""Jun"",""Jul"",""Aug"",""Sep"",""Oct"",""Nov"",""Dec""},0),15),
  IF(REGEXMATCH(TRIM(B76),""^\d{2}[/-]\d{2}[/-]\d{4}$"&amp;"""),
    DATE(VALUE(RIGHT(TRIM(B76),4)),VALUE(MID(TRIM(B76),4,2)),VALUE(LEFT(TRIM(B76),2))),
  DATEVALUE(TRIM(B76)))),
""CHECK"")"),45427.0)</f>
        <v>45427</v>
      </c>
      <c r="R76" s="2" t="str">
        <f t="shared" si="2"/>
        <v>May</v>
      </c>
      <c r="S76" s="2" t="str">
        <f t="shared" si="3"/>
        <v>Q2</v>
      </c>
      <c r="T76" s="2">
        <f t="shared" si="4"/>
        <v>56546.05</v>
      </c>
    </row>
    <row r="77">
      <c r="A77" s="7" t="s">
        <v>296</v>
      </c>
      <c r="B77" s="7" t="s">
        <v>297</v>
      </c>
      <c r="C77" s="7" t="s">
        <v>34</v>
      </c>
      <c r="D77" s="7" t="s">
        <v>31</v>
      </c>
      <c r="E77" s="7" t="s">
        <v>145</v>
      </c>
      <c r="F77" s="7" t="s">
        <v>298</v>
      </c>
      <c r="G77" s="7">
        <v>22073.81</v>
      </c>
      <c r="H77" s="7" t="s">
        <v>26</v>
      </c>
      <c r="I77" s="7" t="s">
        <v>48</v>
      </c>
      <c r="J77" s="7" t="s">
        <v>126</v>
      </c>
      <c r="K77" s="7" t="s">
        <v>29</v>
      </c>
      <c r="L77" s="7"/>
      <c r="N77" s="2" t="str">
        <f t="shared" si="1"/>
        <v>Cloud Infrastructure</v>
      </c>
      <c r="O77" s="6">
        <f>IFERROR(__xludf.DUMMYFUNCTION("IFERROR(
  IF(LEN(TRIM(B77))=6,
    DATE(2000+VALUE(RIGHT(TRIM(B77),2)),MATCH(LEFT(TRIM(B77),3),{""Jan"",""Feb"",""Mar"",""Apr"",""May"",""Jun"",""Jul"",""Aug"",""Sep"",""Oct"",""Nov"",""Dec""},0),15),
  IF(REGEXMATCH(TRIM(B77),""^\d{2}[/-]\d{2}[/-]\d{4}$"&amp;"""),
    DATE(VALUE(RIGHT(TRIM(B77),4)),VALUE(MID(TRIM(B77),4,2)),VALUE(LEFT(TRIM(B77),2))),
  DATEVALUE(TRIM(B77)))),
""CHECK"")"),46083.0)</f>
        <v>46083</v>
      </c>
      <c r="R77" s="2" t="str">
        <f t="shared" si="2"/>
        <v>Mar</v>
      </c>
      <c r="S77" s="2" t="str">
        <f t="shared" si="3"/>
        <v>Q1</v>
      </c>
      <c r="T77" s="2">
        <f t="shared" si="4"/>
        <v>22073.81</v>
      </c>
    </row>
    <row r="78">
      <c r="A78" s="5" t="s">
        <v>299</v>
      </c>
      <c r="B78" s="5" t="s">
        <v>300</v>
      </c>
      <c r="C78" s="5" t="s">
        <v>22</v>
      </c>
      <c r="D78" s="5" t="s">
        <v>85</v>
      </c>
      <c r="E78" s="5" t="s">
        <v>63</v>
      </c>
      <c r="F78" s="5" t="s">
        <v>301</v>
      </c>
      <c r="G78" s="5">
        <v>19438.97</v>
      </c>
      <c r="H78" s="5" t="s">
        <v>26</v>
      </c>
      <c r="I78" s="5" t="s">
        <v>134</v>
      </c>
      <c r="J78" s="5" t="s">
        <v>58</v>
      </c>
      <c r="K78" s="5" t="s">
        <v>59</v>
      </c>
      <c r="L78" s="5"/>
      <c r="N78" s="2" t="str">
        <f t="shared" si="1"/>
        <v>Sales</v>
      </c>
      <c r="O78" s="6">
        <f>IFERROR(__xludf.DUMMYFUNCTION("IFERROR(
  IF(LEN(TRIM(B78))=6,
    DATE(2000+VALUE(RIGHT(TRIM(B78),2)),MATCH(LEFT(TRIM(B78),3),{""Jan"",""Feb"",""Mar"",""Apr"",""May"",""Jun"",""Jul"",""Aug"",""Sep"",""Oct"",""Nov"",""Dec""},0),15),
  IF(REGEXMATCH(TRIM(B78),""^\d{2}[/-]\d{2}[/-]\d{4}$"&amp;"""),
    DATE(VALUE(RIGHT(TRIM(B78),4)),VALUE(MID(TRIM(B78),4,2)),VALUE(LEFT(TRIM(B78),2))),
  DATEVALUE(TRIM(B78)))),
""CHECK"")"),45482.0)</f>
        <v>45482</v>
      </c>
      <c r="R78" s="2" t="str">
        <f t="shared" si="2"/>
        <v>Jul</v>
      </c>
      <c r="S78" s="2" t="str">
        <f t="shared" si="3"/>
        <v>Q3</v>
      </c>
      <c r="T78" s="2">
        <f t="shared" si="4"/>
        <v>19438.97</v>
      </c>
    </row>
    <row r="79">
      <c r="A79" s="7" t="s">
        <v>302</v>
      </c>
      <c r="B79" s="7" t="s">
        <v>101</v>
      </c>
      <c r="C79" s="7" t="s">
        <v>34</v>
      </c>
      <c r="D79" s="7" t="s">
        <v>54</v>
      </c>
      <c r="E79" s="7" t="s">
        <v>54</v>
      </c>
      <c r="F79" s="7" t="s">
        <v>303</v>
      </c>
      <c r="G79" s="7">
        <v>31905.83</v>
      </c>
      <c r="H79" s="7" t="s">
        <v>26</v>
      </c>
      <c r="I79" s="7" t="s">
        <v>147</v>
      </c>
      <c r="J79" s="7" t="s">
        <v>44</v>
      </c>
      <c r="K79" s="7" t="s">
        <v>29</v>
      </c>
      <c r="L79" s="7"/>
      <c r="N79" s="2" t="str">
        <f t="shared" si="1"/>
        <v>Marketing</v>
      </c>
      <c r="O79" s="6">
        <f>IFERROR(__xludf.DUMMYFUNCTION("IFERROR(
  IF(LEN(TRIM(B79))=6,
    DATE(2000+VALUE(RIGHT(TRIM(B79),2)),MATCH(LEFT(TRIM(B79),3),{""Jan"",""Feb"",""Mar"",""Apr"",""May"",""Jun"",""Jul"",""Aug"",""Sep"",""Oct"",""Nov"",""Dec""},0),15),
  IF(REGEXMATCH(TRIM(B79),""^\d{2}[/-]\d{2}[/-]\d{4}$"&amp;"""),
    DATE(VALUE(RIGHT(TRIM(B79),4)),VALUE(MID(TRIM(B79),4,2)),VALUE(LEFT(TRIM(B79),2))),
  DATEVALUE(TRIM(B79)))),
""CHECK"")"),45366.0)</f>
        <v>45366</v>
      </c>
      <c r="R79" s="2" t="str">
        <f t="shared" si="2"/>
        <v>Mar</v>
      </c>
      <c r="S79" s="2" t="str">
        <f t="shared" si="3"/>
        <v>Q1</v>
      </c>
      <c r="T79" s="2">
        <f t="shared" si="4"/>
        <v>31905.83</v>
      </c>
    </row>
    <row r="80">
      <c r="A80" s="5" t="s">
        <v>304</v>
      </c>
      <c r="B80" s="5" t="s">
        <v>305</v>
      </c>
      <c r="C80" s="5" t="s">
        <v>34</v>
      </c>
      <c r="D80" s="5" t="s">
        <v>82</v>
      </c>
      <c r="E80" s="5" t="s">
        <v>94</v>
      </c>
      <c r="F80" s="5" t="s">
        <v>278</v>
      </c>
      <c r="G80" s="5">
        <v>14146.91</v>
      </c>
      <c r="H80" s="5" t="s">
        <v>26</v>
      </c>
      <c r="I80" s="5" t="s">
        <v>206</v>
      </c>
      <c r="J80" s="5" t="s">
        <v>126</v>
      </c>
      <c r="K80" s="5" t="s">
        <v>29</v>
      </c>
      <c r="L80" s="5"/>
      <c r="N80" s="2" t="str">
        <f t="shared" si="1"/>
        <v>Engineering</v>
      </c>
      <c r="O80" s="6">
        <f>IFERROR(__xludf.DUMMYFUNCTION("IFERROR(
  IF(LEN(TRIM(B80))=6,
    DATE(2000+VALUE(RIGHT(TRIM(B80),2)),MATCH(LEFT(TRIM(B80),3),{""Jan"",""Feb"",""Mar"",""Apr"",""May"",""Jun"",""Jul"",""Aug"",""Sep"",""Oct"",""Nov"",""Dec""},0),15),
  IF(REGEXMATCH(TRIM(B80),""^\d{2}[/-]\d{2}[/-]\d{4}$"&amp;"""),
    DATE(VALUE(RIGHT(TRIM(B80),4)),VALUE(MID(TRIM(B80),4,2)),VALUE(LEFT(TRIM(B80),2))),
  DATEVALUE(TRIM(B80)))),
""CHECK"")"),45344.0)</f>
        <v>45344</v>
      </c>
      <c r="R80" s="2" t="str">
        <f t="shared" si="2"/>
        <v>Feb</v>
      </c>
      <c r="S80" s="2" t="str">
        <f t="shared" si="3"/>
        <v>Q1</v>
      </c>
      <c r="T80" s="2">
        <f t="shared" si="4"/>
        <v>14146.91</v>
      </c>
    </row>
    <row r="81">
      <c r="A81" s="7" t="s">
        <v>306</v>
      </c>
      <c r="B81" s="7" t="s">
        <v>128</v>
      </c>
      <c r="C81" s="7" t="s">
        <v>22</v>
      </c>
      <c r="D81" s="7" t="s">
        <v>85</v>
      </c>
      <c r="E81" s="7" t="s">
        <v>111</v>
      </c>
      <c r="F81" s="7" t="s">
        <v>250</v>
      </c>
      <c r="G81" s="7">
        <v>11716.04</v>
      </c>
      <c r="H81" s="7" t="s">
        <v>26</v>
      </c>
      <c r="I81" s="7" t="s">
        <v>65</v>
      </c>
      <c r="J81" s="7" t="s">
        <v>28</v>
      </c>
      <c r="K81" s="7" t="s">
        <v>29</v>
      </c>
      <c r="L81" s="7"/>
      <c r="N81" s="2" t="str">
        <f t="shared" si="1"/>
        <v>Sales</v>
      </c>
      <c r="O81" s="6">
        <f>IFERROR(__xludf.DUMMYFUNCTION("IFERROR(
  IF(LEN(TRIM(B81))=6,
    DATE(2000+VALUE(RIGHT(TRIM(B81),2)),MATCH(LEFT(TRIM(B81),3),{""Jan"",""Feb"",""Mar"",""Apr"",""May"",""Jun"",""Jul"",""Aug"",""Sep"",""Oct"",""Nov"",""Dec""},0),15),
  IF(REGEXMATCH(TRIM(B81),""^\d{2}[/-]\d{2}[/-]\d{4}$"&amp;"""),
    DATE(VALUE(RIGHT(TRIM(B81),4)),VALUE(MID(TRIM(B81),4,2)),VALUE(LEFT(TRIM(B81),2))),
  DATEVALUE(TRIM(B81)))),
""CHECK"")"),45306.0)</f>
        <v>45306</v>
      </c>
      <c r="R81" s="2" t="str">
        <f t="shared" si="2"/>
        <v>Jan</v>
      </c>
      <c r="S81" s="2" t="str">
        <f t="shared" si="3"/>
        <v>Q1</v>
      </c>
      <c r="T81" s="2">
        <f t="shared" si="4"/>
        <v>11716.04</v>
      </c>
    </row>
    <row r="82">
      <c r="A82" s="5" t="s">
        <v>307</v>
      </c>
      <c r="B82" s="5" t="s">
        <v>308</v>
      </c>
      <c r="C82" s="5" t="s">
        <v>22</v>
      </c>
      <c r="D82" s="5" t="s">
        <v>62</v>
      </c>
      <c r="E82" s="5" t="s">
        <v>63</v>
      </c>
      <c r="F82" s="5" t="s">
        <v>309</v>
      </c>
      <c r="G82" s="5">
        <v>8582.78</v>
      </c>
      <c r="H82" s="5" t="s">
        <v>26</v>
      </c>
      <c r="I82" s="5" t="s">
        <v>65</v>
      </c>
      <c r="J82" s="5" t="s">
        <v>126</v>
      </c>
      <c r="K82" s="5" t="s">
        <v>29</v>
      </c>
      <c r="L82" s="5"/>
      <c r="N82" s="2" t="str">
        <f t="shared" si="1"/>
        <v>Sales</v>
      </c>
      <c r="O82" s="6">
        <f>IFERROR(__xludf.DUMMYFUNCTION("IFERROR(
  IF(LEN(TRIM(B82))=6,
    DATE(2000+VALUE(RIGHT(TRIM(B82),2)),MATCH(LEFT(TRIM(B82),3),{""Jan"",""Feb"",""Mar"",""Apr"",""May"",""Jun"",""Jul"",""Aug"",""Sep"",""Oct"",""Nov"",""Dec""},0),15),
  IF(REGEXMATCH(TRIM(B82),""^\d{2}[/-]\d{2}[/-]\d{4}$"&amp;"""),
    DATE(VALUE(RIGHT(TRIM(B82),4)),VALUE(MID(TRIM(B82),4,2)),VALUE(LEFT(TRIM(B82),2))),
  DATEVALUE(TRIM(B82)))),
""CHECK"")"),45351.0)</f>
        <v>45351</v>
      </c>
      <c r="R82" s="2" t="str">
        <f t="shared" si="2"/>
        <v>Feb</v>
      </c>
      <c r="S82" s="2" t="str">
        <f t="shared" si="3"/>
        <v>Q1</v>
      </c>
      <c r="T82" s="2">
        <f t="shared" si="4"/>
        <v>8582.78</v>
      </c>
    </row>
    <row r="83">
      <c r="A83" s="7" t="s">
        <v>310</v>
      </c>
      <c r="B83" s="7" t="s">
        <v>311</v>
      </c>
      <c r="C83" s="7" t="s">
        <v>34</v>
      </c>
      <c r="D83" s="7" t="s">
        <v>51</v>
      </c>
      <c r="E83" s="7" t="s">
        <v>74</v>
      </c>
      <c r="F83" s="7" t="s">
        <v>312</v>
      </c>
      <c r="G83" s="7">
        <v>19266.58</v>
      </c>
      <c r="H83" s="7" t="s">
        <v>26</v>
      </c>
      <c r="I83" s="7" t="s">
        <v>231</v>
      </c>
      <c r="J83" s="7" t="s">
        <v>49</v>
      </c>
      <c r="K83" s="7" t="s">
        <v>39</v>
      </c>
      <c r="L83" s="7"/>
      <c r="N83" s="2" t="str">
        <f t="shared" si="1"/>
        <v>Customer Success</v>
      </c>
      <c r="O83" s="6">
        <f>IFERROR(__xludf.DUMMYFUNCTION("IFERROR(
  IF(LEN(TRIM(B83))=6,
    DATE(2000+VALUE(RIGHT(TRIM(B83),2)),MATCH(LEFT(TRIM(B83),3),{""Jan"",""Feb"",""Mar"",""Apr"",""May"",""Jun"",""Jul"",""Aug"",""Sep"",""Oct"",""Nov"",""Dec""},0),15),
  IF(REGEXMATCH(TRIM(B83),""^\d{2}[/-]\d{2}[/-]\d{4}$"&amp;"""),
    DATE(VALUE(RIGHT(TRIM(B83),4)),VALUE(MID(TRIM(B83),4,2)),VALUE(LEFT(TRIM(B83),2))),
  DATEVALUE(TRIM(B83)))),
""CHECK"")"),45580.0)</f>
        <v>45580</v>
      </c>
      <c r="R83" s="2" t="str">
        <f t="shared" si="2"/>
        <v>Oct</v>
      </c>
      <c r="S83" s="2" t="str">
        <f t="shared" si="3"/>
        <v>Q4</v>
      </c>
      <c r="T83" s="2">
        <f t="shared" si="4"/>
        <v>19266.58</v>
      </c>
    </row>
    <row r="84">
      <c r="A84" s="5" t="s">
        <v>313</v>
      </c>
      <c r="B84" s="5" t="s">
        <v>314</v>
      </c>
      <c r="C84" s="5" t="s">
        <v>34</v>
      </c>
      <c r="D84" s="5" t="s">
        <v>31</v>
      </c>
      <c r="E84" s="5" t="s">
        <v>31</v>
      </c>
      <c r="F84" s="5" t="s">
        <v>112</v>
      </c>
      <c r="G84" s="5">
        <v>-18275.63</v>
      </c>
      <c r="H84" s="5" t="s">
        <v>26</v>
      </c>
      <c r="I84" s="5" t="s">
        <v>57</v>
      </c>
      <c r="J84" s="5" t="s">
        <v>49</v>
      </c>
      <c r="K84" s="5" t="s">
        <v>39</v>
      </c>
      <c r="L84" s="5"/>
      <c r="N84" s="2" t="str">
        <f t="shared" si="1"/>
        <v>Cloud Infrastructure</v>
      </c>
      <c r="O84" s="6">
        <f>IFERROR(__xludf.DUMMYFUNCTION("IFERROR(
  IF(LEN(TRIM(B84))=6,
    DATE(2000+VALUE(RIGHT(TRIM(B84),2)),MATCH(LEFT(TRIM(B84),3),{""Jan"",""Feb"",""Mar"",""Apr"",""May"",""Jun"",""Jul"",""Aug"",""Sep"",""Oct"",""Nov"",""Dec""},0),15),
  IF(REGEXMATCH(TRIM(B84),""^\d{2}[/-]\d{2}[/-]\d{4}$"&amp;"""),
    DATE(VALUE(RIGHT(TRIM(B84),4)),VALUE(MID(TRIM(B84),4,2)),VALUE(LEFT(TRIM(B84),2))),
  DATEVALUE(TRIM(B84)))),
""CHECK"")"),45592.0)</f>
        <v>45592</v>
      </c>
      <c r="R84" s="2" t="str">
        <f t="shared" si="2"/>
        <v>Oct</v>
      </c>
      <c r="S84" s="2" t="str">
        <f t="shared" si="3"/>
        <v>Q4</v>
      </c>
      <c r="T84" s="2">
        <f t="shared" si="4"/>
        <v>-18275.63</v>
      </c>
    </row>
    <row r="85">
      <c r="A85" s="7" t="s">
        <v>315</v>
      </c>
      <c r="B85" s="7" t="s">
        <v>316</v>
      </c>
      <c r="C85" s="7" t="s">
        <v>22</v>
      </c>
      <c r="D85" s="7" t="s">
        <v>85</v>
      </c>
      <c r="E85" s="7" t="s">
        <v>24</v>
      </c>
      <c r="F85" s="7" t="s">
        <v>301</v>
      </c>
      <c r="G85" s="7">
        <v>10631.4</v>
      </c>
      <c r="H85" s="7" t="s">
        <v>26</v>
      </c>
      <c r="I85" s="7" t="s">
        <v>27</v>
      </c>
      <c r="J85" s="7" t="s">
        <v>49</v>
      </c>
      <c r="K85" s="7" t="s">
        <v>39</v>
      </c>
      <c r="L85" s="7"/>
      <c r="N85" s="2" t="str">
        <f t="shared" si="1"/>
        <v>Sales</v>
      </c>
      <c r="O85" s="6">
        <f>IFERROR(__xludf.DUMMYFUNCTION("IFERROR(
  IF(LEN(TRIM(B85))=6,
    DATE(2000+VALUE(RIGHT(TRIM(B85),2)),MATCH(LEFT(TRIM(B85),3),{""Jan"",""Feb"",""Mar"",""Apr"",""May"",""Jun"",""Jul"",""Aug"",""Sep"",""Oct"",""Nov"",""Dec""},0),15),
  IF(REGEXMATCH(TRIM(B85),""^\d{2}[/-]\d{2}[/-]\d{4}$"&amp;"""),
    DATE(VALUE(RIGHT(TRIM(B85),4)),VALUE(MID(TRIM(B85),4,2)),VALUE(LEFT(TRIM(B85),2))),
  DATEVALUE(TRIM(B85)))),
""CHECK"")"),45566.0)</f>
        <v>45566</v>
      </c>
      <c r="R85" s="2" t="str">
        <f t="shared" si="2"/>
        <v>Oct</v>
      </c>
      <c r="S85" s="2" t="str">
        <f t="shared" si="3"/>
        <v>Q4</v>
      </c>
      <c r="T85" s="2">
        <f t="shared" si="4"/>
        <v>10631.4</v>
      </c>
    </row>
    <row r="86">
      <c r="A86" s="5" t="s">
        <v>317</v>
      </c>
      <c r="B86" s="5" t="s">
        <v>318</v>
      </c>
      <c r="C86" s="5" t="s">
        <v>34</v>
      </c>
      <c r="D86" s="5" t="s">
        <v>90</v>
      </c>
      <c r="E86" s="5" t="s">
        <v>114</v>
      </c>
      <c r="F86" s="5" t="s">
        <v>278</v>
      </c>
      <c r="G86" s="5">
        <v>8050.17</v>
      </c>
      <c r="H86" s="5" t="s">
        <v>26</v>
      </c>
      <c r="I86" s="5" t="s">
        <v>206</v>
      </c>
      <c r="J86" s="5" t="s">
        <v>58</v>
      </c>
      <c r="K86" s="5" t="s">
        <v>59</v>
      </c>
      <c r="L86" s="5"/>
      <c r="N86" s="2" t="str">
        <f t="shared" si="1"/>
        <v>G&amp;A</v>
      </c>
      <c r="O86" s="6">
        <f>IFERROR(__xludf.DUMMYFUNCTION("IFERROR(
  IF(LEN(TRIM(B86))=6,
    DATE(2000+VALUE(RIGHT(TRIM(B86),2)),MATCH(LEFT(TRIM(B86),3),{""Jan"",""Feb"",""Mar"",""Apr"",""May"",""Jun"",""Jul"",""Aug"",""Sep"",""Oct"",""Nov"",""Dec""},0),15),
  IF(REGEXMATCH(TRIM(B86),""^\d{2}[/-]\d{2}[/-]\d{4}$"&amp;"""),
    DATE(VALUE(RIGHT(TRIM(B86),4)),VALUE(MID(TRIM(B86),4,2)),VALUE(LEFT(TRIM(B86),2))),
  DATEVALUE(TRIM(B86)))),
""CHECK"")"),45476.0)</f>
        <v>45476</v>
      </c>
      <c r="R86" s="2" t="str">
        <f t="shared" si="2"/>
        <v>Jul</v>
      </c>
      <c r="S86" s="2" t="str">
        <f t="shared" si="3"/>
        <v>Q3</v>
      </c>
      <c r="T86" s="2">
        <f t="shared" si="4"/>
        <v>8050.17</v>
      </c>
    </row>
    <row r="87">
      <c r="A87" s="7" t="s">
        <v>319</v>
      </c>
      <c r="B87" s="7" t="s">
        <v>320</v>
      </c>
      <c r="C87" s="7" t="s">
        <v>34</v>
      </c>
      <c r="D87" s="7" t="s">
        <v>31</v>
      </c>
      <c r="E87" s="7" t="s">
        <v>30</v>
      </c>
      <c r="F87" s="7" t="s">
        <v>321</v>
      </c>
      <c r="G87" s="7">
        <v>15849.2</v>
      </c>
      <c r="H87" s="7" t="s">
        <v>26</v>
      </c>
      <c r="I87" s="7" t="s">
        <v>147</v>
      </c>
      <c r="J87" s="7" t="s">
        <v>126</v>
      </c>
      <c r="K87" s="7" t="s">
        <v>29</v>
      </c>
      <c r="L87" s="7"/>
      <c r="N87" s="2" t="str">
        <f t="shared" si="1"/>
        <v>Cloud Infrastructure</v>
      </c>
      <c r="O87" s="6">
        <f>IFERROR(__xludf.DUMMYFUNCTION("IFERROR(
  IF(LEN(TRIM(B87))=6,
    DATE(2000+VALUE(RIGHT(TRIM(B87),2)),MATCH(LEFT(TRIM(B87),3),{""Jan"",""Feb"",""Mar"",""Apr"",""May"",""Jun"",""Jul"",""Aug"",""Sep"",""Oct"",""Nov"",""Dec""},0),15),
  IF(REGEXMATCH(TRIM(B87),""^\d{2}[/-]\d{2}[/-]\d{4}$"&amp;"""),
    DATE(VALUE(RIGHT(TRIM(B87),4)),VALUE(MID(TRIM(B87),4,2)),VALUE(LEFT(TRIM(B87),2))),
  DATEVALUE(TRIM(B87)))),
""CHECK"")"),45348.0)</f>
        <v>45348</v>
      </c>
      <c r="R87" s="2" t="str">
        <f t="shared" si="2"/>
        <v>Feb</v>
      </c>
      <c r="S87" s="2" t="str">
        <f t="shared" si="3"/>
        <v>Q1</v>
      </c>
      <c r="T87" s="2">
        <f t="shared" si="4"/>
        <v>15849.2</v>
      </c>
    </row>
    <row r="88">
      <c r="A88" s="5" t="s">
        <v>322</v>
      </c>
      <c r="B88" s="5" t="s">
        <v>316</v>
      </c>
      <c r="C88" s="5" t="s">
        <v>22</v>
      </c>
      <c r="D88" s="5" t="s">
        <v>85</v>
      </c>
      <c r="E88" s="5" t="s">
        <v>97</v>
      </c>
      <c r="F88" s="5" t="s">
        <v>301</v>
      </c>
      <c r="G88" s="5">
        <v>19724.98</v>
      </c>
      <c r="H88" s="5" t="s">
        <v>26</v>
      </c>
      <c r="I88" s="5" t="s">
        <v>72</v>
      </c>
      <c r="J88" s="5" t="s">
        <v>49</v>
      </c>
      <c r="K88" s="5" t="s">
        <v>39</v>
      </c>
      <c r="L88" s="5"/>
      <c r="N88" s="2" t="str">
        <f t="shared" si="1"/>
        <v>Sales</v>
      </c>
      <c r="O88" s="6">
        <f>IFERROR(__xludf.DUMMYFUNCTION("IFERROR(
  IF(LEN(TRIM(B88))=6,
    DATE(2000+VALUE(RIGHT(TRIM(B88),2)),MATCH(LEFT(TRIM(B88),3),{""Jan"",""Feb"",""Mar"",""Apr"",""May"",""Jun"",""Jul"",""Aug"",""Sep"",""Oct"",""Nov"",""Dec""},0),15),
  IF(REGEXMATCH(TRIM(B88),""^\d{2}[/-]\d{2}[/-]\d{4}$"&amp;"""),
    DATE(VALUE(RIGHT(TRIM(B88),4)),VALUE(MID(TRIM(B88),4,2)),VALUE(LEFT(TRIM(B88),2))),
  DATEVALUE(TRIM(B88)))),
""CHECK"")"),45566.0)</f>
        <v>45566</v>
      </c>
      <c r="R88" s="2" t="str">
        <f t="shared" si="2"/>
        <v>Oct</v>
      </c>
      <c r="S88" s="2" t="str">
        <f t="shared" si="3"/>
        <v>Q4</v>
      </c>
      <c r="T88" s="2">
        <f t="shared" si="4"/>
        <v>19724.98</v>
      </c>
    </row>
    <row r="89">
      <c r="A89" s="7" t="s">
        <v>323</v>
      </c>
      <c r="B89" s="7" t="s">
        <v>324</v>
      </c>
      <c r="C89" s="7" t="s">
        <v>22</v>
      </c>
      <c r="D89" s="7" t="s">
        <v>85</v>
      </c>
      <c r="E89" s="7" t="s">
        <v>63</v>
      </c>
      <c r="F89" s="7" t="s">
        <v>240</v>
      </c>
      <c r="G89" s="7">
        <v>21169.37</v>
      </c>
      <c r="H89" s="7" t="s">
        <v>26</v>
      </c>
      <c r="I89" s="7" t="s">
        <v>27</v>
      </c>
      <c r="J89" s="7" t="s">
        <v>113</v>
      </c>
      <c r="K89" s="7" t="s">
        <v>67</v>
      </c>
      <c r="L89" s="7"/>
      <c r="N89" s="2" t="str">
        <f t="shared" si="1"/>
        <v>Sales</v>
      </c>
      <c r="O89" s="6">
        <f>IFERROR(__xludf.DUMMYFUNCTION("IFERROR(
  IF(LEN(TRIM(B89))=6,
    DATE(2000+VALUE(RIGHT(TRIM(B89),2)),MATCH(LEFT(TRIM(B89),3),{""Jan"",""Feb"",""Mar"",""Apr"",""May"",""Jun"",""Jul"",""Aug"",""Sep"",""Oct"",""Nov"",""Dec""},0),15),
  IF(REGEXMATCH(TRIM(B89),""^\d{2}[/-]\d{2}[/-]\d{4}$"&amp;"""),
    DATE(VALUE(RIGHT(TRIM(B89),4)),VALUE(MID(TRIM(B89),4,2)),VALUE(LEFT(TRIM(B89),2))),
  DATEVALUE(TRIM(B89)))),
""CHECK"")"),45464.0)</f>
        <v>45464</v>
      </c>
      <c r="R89" s="2" t="str">
        <f t="shared" si="2"/>
        <v>Jun</v>
      </c>
      <c r="S89" s="2" t="str">
        <f t="shared" si="3"/>
        <v>Q2</v>
      </c>
      <c r="T89" s="2">
        <f t="shared" si="4"/>
        <v>21169.37</v>
      </c>
    </row>
    <row r="90">
      <c r="A90" s="5" t="s">
        <v>325</v>
      </c>
      <c r="B90" s="5" t="s">
        <v>326</v>
      </c>
      <c r="C90" s="5" t="s">
        <v>34</v>
      </c>
      <c r="D90" s="5" t="s">
        <v>90</v>
      </c>
      <c r="E90" s="5" t="s">
        <v>104</v>
      </c>
      <c r="F90" s="5" t="s">
        <v>327</v>
      </c>
      <c r="G90" s="5">
        <v>17700.94</v>
      </c>
      <c r="H90" s="5" t="s">
        <v>26</v>
      </c>
      <c r="I90" s="5" t="s">
        <v>237</v>
      </c>
      <c r="J90" s="5" t="s">
        <v>126</v>
      </c>
      <c r="K90" s="5" t="s">
        <v>29</v>
      </c>
      <c r="L90" s="5"/>
      <c r="N90" s="2" t="str">
        <f t="shared" si="1"/>
        <v>G&amp;A</v>
      </c>
      <c r="O90" s="6">
        <f>IFERROR(__xludf.DUMMYFUNCTION("IFERROR(
  IF(LEN(TRIM(B90))=6,
    DATE(2000+VALUE(RIGHT(TRIM(B90),2)),MATCH(LEFT(TRIM(B90),3),{""Jan"",""Feb"",""Mar"",""Apr"",""May"",""Jun"",""Jul"",""Aug"",""Sep"",""Oct"",""Nov"",""Dec""},0),15),
  IF(REGEXMATCH(TRIM(B90),""^\d{2}[/-]\d{2}[/-]\d{4}$"&amp;"""),
    DATE(VALUE(RIGHT(TRIM(B90),4)),VALUE(MID(TRIM(B90),4,2)),VALUE(LEFT(TRIM(B90),2))),
  DATEVALUE(TRIM(B90)))),
""CHECK"")"),45323.0)</f>
        <v>45323</v>
      </c>
      <c r="R90" s="2" t="str">
        <f t="shared" si="2"/>
        <v>Feb</v>
      </c>
      <c r="S90" s="2" t="str">
        <f t="shared" si="3"/>
        <v>Q1</v>
      </c>
      <c r="T90" s="2">
        <f t="shared" si="4"/>
        <v>17700.94</v>
      </c>
    </row>
    <row r="91">
      <c r="A91" s="7" t="s">
        <v>328</v>
      </c>
      <c r="B91" s="7" t="s">
        <v>329</v>
      </c>
      <c r="C91" s="7" t="s">
        <v>34</v>
      </c>
      <c r="D91" s="7" t="s">
        <v>90</v>
      </c>
      <c r="E91" s="7" t="s">
        <v>90</v>
      </c>
      <c r="F91" s="7" t="s">
        <v>330</v>
      </c>
      <c r="G91" s="7">
        <v>8503.75</v>
      </c>
      <c r="H91" s="7" t="s">
        <v>26</v>
      </c>
      <c r="I91" s="7" t="s">
        <v>118</v>
      </c>
      <c r="J91" s="7" t="s">
        <v>108</v>
      </c>
      <c r="K91" s="7" t="s">
        <v>59</v>
      </c>
      <c r="L91" s="7"/>
      <c r="N91" s="2" t="str">
        <f t="shared" si="1"/>
        <v>G&amp;A</v>
      </c>
      <c r="O91" s="6">
        <f>IFERROR(__xludf.DUMMYFUNCTION("IFERROR(
  IF(LEN(TRIM(B91))=6,
    DATE(2000+VALUE(RIGHT(TRIM(B91),2)),MATCH(LEFT(TRIM(B91),3),{""Jan"",""Feb"",""Mar"",""Apr"",""May"",""Jun"",""Jul"",""Aug"",""Sep"",""Oct"",""Nov"",""Dec""},0),15),
  IF(REGEXMATCH(TRIM(B91),""^\d{2}[/-]\d{2}[/-]\d{4}$"&amp;"""),
    DATE(VALUE(RIGHT(TRIM(B91),4)),VALUE(MID(TRIM(B91),4,2)),VALUE(LEFT(TRIM(B91),2))),
  DATEVALUE(TRIM(B91)))),
""CHECK"")"),45506.0)</f>
        <v>45506</v>
      </c>
      <c r="R91" s="2" t="str">
        <f t="shared" si="2"/>
        <v>Aug</v>
      </c>
      <c r="S91" s="2" t="str">
        <f t="shared" si="3"/>
        <v>Q3</v>
      </c>
      <c r="T91" s="2">
        <f t="shared" si="4"/>
        <v>8503.75</v>
      </c>
    </row>
    <row r="92">
      <c r="A92" s="5" t="s">
        <v>331</v>
      </c>
      <c r="B92" s="5" t="s">
        <v>332</v>
      </c>
      <c r="C92" s="5" t="s">
        <v>34</v>
      </c>
      <c r="D92" s="5" t="s">
        <v>82</v>
      </c>
      <c r="E92" s="5" t="s">
        <v>94</v>
      </c>
      <c r="F92" s="5" t="s">
        <v>158</v>
      </c>
      <c r="G92" s="5">
        <v>23569.5</v>
      </c>
      <c r="H92" s="5" t="s">
        <v>26</v>
      </c>
      <c r="I92" s="5" t="s">
        <v>37</v>
      </c>
      <c r="J92" s="5" t="s">
        <v>113</v>
      </c>
      <c r="K92" s="5" t="s">
        <v>67</v>
      </c>
      <c r="L92" s="5"/>
      <c r="N92" s="2" t="str">
        <f t="shared" si="1"/>
        <v>Engineering</v>
      </c>
      <c r="O92" s="6">
        <f>IFERROR(__xludf.DUMMYFUNCTION("IFERROR(
  IF(LEN(TRIM(B92))=6,
    DATE(2000+VALUE(RIGHT(TRIM(B92),2)),MATCH(LEFT(TRIM(B92),3),{""Jan"",""Feb"",""Mar"",""Apr"",""May"",""Jun"",""Jul"",""Aug"",""Sep"",""Oct"",""Nov"",""Dec""},0),15),
  IF(REGEXMATCH(TRIM(B92),""^\d{2}[/-]\d{2}[/-]\d{4}$"&amp;"""),
    DATE(VALUE(RIGHT(TRIM(B92),4)),VALUE(MID(TRIM(B92),4,2)),VALUE(LEFT(TRIM(B92),2))),
  DATEVALUE(TRIM(B92)))),
""CHECK"")"),45458.0)</f>
        <v>45458</v>
      </c>
      <c r="R92" s="2" t="str">
        <f t="shared" si="2"/>
        <v>Jun</v>
      </c>
      <c r="S92" s="2" t="str">
        <f t="shared" si="3"/>
        <v>Q2</v>
      </c>
      <c r="T92" s="2">
        <f t="shared" si="4"/>
        <v>23569.5</v>
      </c>
    </row>
    <row r="93">
      <c r="A93" s="7" t="s">
        <v>333</v>
      </c>
      <c r="B93" s="7" t="s">
        <v>334</v>
      </c>
      <c r="C93" s="7" t="s">
        <v>22</v>
      </c>
      <c r="D93" s="7" t="s">
        <v>62</v>
      </c>
      <c r="E93" s="7" t="s">
        <v>24</v>
      </c>
      <c r="F93" s="7" t="s">
        <v>335</v>
      </c>
      <c r="G93" s="7">
        <v>5011.51</v>
      </c>
      <c r="H93" s="7" t="s">
        <v>26</v>
      </c>
      <c r="I93" s="7" t="s">
        <v>137</v>
      </c>
      <c r="J93" s="7" t="s">
        <v>108</v>
      </c>
      <c r="K93" s="7" t="s">
        <v>59</v>
      </c>
      <c r="L93" s="7"/>
      <c r="N93" s="2" t="str">
        <f t="shared" si="1"/>
        <v>Sales</v>
      </c>
      <c r="O93" s="6">
        <f>IFERROR(__xludf.DUMMYFUNCTION("IFERROR(
  IF(LEN(TRIM(B93))=6,
    DATE(2000+VALUE(RIGHT(TRIM(B93),2)),MATCH(LEFT(TRIM(B93),3),{""Jan"",""Feb"",""Mar"",""Apr"",""May"",""Jun"",""Jul"",""Aug"",""Sep"",""Oct"",""Nov"",""Dec""},0),15),
  IF(REGEXMATCH(TRIM(B93),""^\d{2}[/-]\d{2}[/-]\d{4}$"&amp;"""),
    DATE(VALUE(RIGHT(TRIM(B93),4)),VALUE(MID(TRIM(B93),4,2)),VALUE(LEFT(TRIM(B93),2))),
  DATEVALUE(TRIM(B93)))),
""CHECK"")"),45529.0)</f>
        <v>45529</v>
      </c>
      <c r="R93" s="2" t="str">
        <f t="shared" si="2"/>
        <v>Aug</v>
      </c>
      <c r="S93" s="2" t="str">
        <f t="shared" si="3"/>
        <v>Q3</v>
      </c>
      <c r="T93" s="2">
        <f t="shared" si="4"/>
        <v>5011.51</v>
      </c>
    </row>
    <row r="94">
      <c r="A94" s="5" t="s">
        <v>336</v>
      </c>
      <c r="B94" s="5" t="s">
        <v>337</v>
      </c>
      <c r="C94" s="5" t="s">
        <v>34</v>
      </c>
      <c r="D94" s="5" t="s">
        <v>31</v>
      </c>
      <c r="E94" s="5" t="s">
        <v>77</v>
      </c>
      <c r="F94" s="5" t="s">
        <v>338</v>
      </c>
      <c r="G94" s="5">
        <v>33462.21</v>
      </c>
      <c r="H94" s="5" t="s">
        <v>26</v>
      </c>
      <c r="I94" s="5" t="s">
        <v>141</v>
      </c>
      <c r="J94" s="5" t="s">
        <v>142</v>
      </c>
      <c r="K94" s="5" t="s">
        <v>39</v>
      </c>
      <c r="L94" s="5"/>
      <c r="N94" s="2" t="str">
        <f t="shared" si="1"/>
        <v>Cloud Infrastructure</v>
      </c>
      <c r="O94" s="6">
        <f>IFERROR(__xludf.DUMMYFUNCTION("IFERROR(
  IF(LEN(TRIM(B94))=6,
    DATE(2000+VALUE(RIGHT(TRIM(B94),2)),MATCH(LEFT(TRIM(B94),3),{""Jan"",""Feb"",""Mar"",""Apr"",""May"",""Jun"",""Jul"",""Aug"",""Sep"",""Oct"",""Nov"",""Dec""},0),15),
  IF(REGEXMATCH(TRIM(B94),""^\d{2}[/-]\d{2}[/-]\d{4}$"&amp;"""),
    DATE(VALUE(RIGHT(TRIM(B94),4)),VALUE(MID(TRIM(B94),4,2)),VALUE(LEFT(TRIM(B94),2))),
  DATEVALUE(TRIM(B94)))),
""CHECK"")"),45611.0)</f>
        <v>45611</v>
      </c>
      <c r="R94" s="2" t="str">
        <f t="shared" si="2"/>
        <v>Nov</v>
      </c>
      <c r="S94" s="2" t="str">
        <f t="shared" si="3"/>
        <v>Q4</v>
      </c>
      <c r="T94" s="2">
        <f t="shared" si="4"/>
        <v>33462.21</v>
      </c>
    </row>
    <row r="95">
      <c r="A95" s="7" t="s">
        <v>339</v>
      </c>
      <c r="B95" s="7" t="s">
        <v>340</v>
      </c>
      <c r="C95" s="7" t="s">
        <v>34</v>
      </c>
      <c r="D95" s="7" t="s">
        <v>54</v>
      </c>
      <c r="E95" s="7" t="s">
        <v>55</v>
      </c>
      <c r="F95" s="7" t="s">
        <v>177</v>
      </c>
      <c r="G95" s="7">
        <v>31653.81</v>
      </c>
      <c r="H95" s="7" t="s">
        <v>26</v>
      </c>
      <c r="I95" s="7" t="s">
        <v>93</v>
      </c>
      <c r="J95" s="7" t="s">
        <v>73</v>
      </c>
      <c r="K95" s="7" t="s">
        <v>59</v>
      </c>
      <c r="L95" s="7"/>
      <c r="N95" s="2" t="str">
        <f t="shared" si="1"/>
        <v>Marketing</v>
      </c>
      <c r="O95" s="6">
        <f>IFERROR(__xludf.DUMMYFUNCTION("IFERROR(
  IF(LEN(TRIM(B95))=6,
    DATE(2000+VALUE(RIGHT(TRIM(B95),2)),MATCH(LEFT(TRIM(B95),3),{""Jan"",""Feb"",""Mar"",""Apr"",""May"",""Jun"",""Jul"",""Aug"",""Sep"",""Oct"",""Nov"",""Dec""},0),15),
  IF(REGEXMATCH(TRIM(B95),""^\d{2}[/-]\d{2}[/-]\d{4}$"&amp;"""),
    DATE(VALUE(RIGHT(TRIM(B95),4)),VALUE(MID(TRIM(B95),4,2)),VALUE(LEFT(TRIM(B95),2))),
  DATEVALUE(TRIM(B95)))),
""CHECK"")"),45564.0)</f>
        <v>45564</v>
      </c>
      <c r="R95" s="2" t="str">
        <f t="shared" si="2"/>
        <v>Sep</v>
      </c>
      <c r="S95" s="2" t="str">
        <f t="shared" si="3"/>
        <v>Q3</v>
      </c>
      <c r="T95" s="2">
        <f t="shared" si="4"/>
        <v>31653.81</v>
      </c>
    </row>
    <row r="96">
      <c r="A96" s="5" t="s">
        <v>341</v>
      </c>
      <c r="B96" s="5" t="s">
        <v>342</v>
      </c>
      <c r="C96" s="5" t="s">
        <v>34</v>
      </c>
      <c r="D96" s="5" t="s">
        <v>54</v>
      </c>
      <c r="E96" s="5" t="s">
        <v>55</v>
      </c>
      <c r="F96" s="5" t="s">
        <v>343</v>
      </c>
      <c r="G96" s="5">
        <v>50426.49</v>
      </c>
      <c r="H96" s="5" t="s">
        <v>26</v>
      </c>
      <c r="I96" s="5" t="s">
        <v>118</v>
      </c>
      <c r="J96" s="5" t="s">
        <v>49</v>
      </c>
      <c r="K96" s="5" t="s">
        <v>39</v>
      </c>
      <c r="L96" s="5"/>
      <c r="N96" s="2" t="str">
        <f t="shared" si="1"/>
        <v>Marketing</v>
      </c>
      <c r="O96" s="6">
        <f>IFERROR(__xludf.DUMMYFUNCTION("IFERROR(
  IF(LEN(TRIM(B96))=6,
    DATE(2000+VALUE(RIGHT(TRIM(B96),2)),MATCH(LEFT(TRIM(B96),3),{""Jan"",""Feb"",""Mar"",""Apr"",""May"",""Jun"",""Jul"",""Aug"",""Sep"",""Oct"",""Nov"",""Dec""},0),15),
  IF(REGEXMATCH(TRIM(B96),""^\d{2}[/-]\d{2}[/-]\d{4}$"&amp;"""),
    DATE(VALUE(RIGHT(TRIM(B96),4)),VALUE(MID(TRIM(B96),4,2)),VALUE(LEFT(TRIM(B96),2))),
  DATEVALUE(TRIM(B96)))),
""CHECK"")"),45910.0)</f>
        <v>45910</v>
      </c>
      <c r="R96" s="2" t="str">
        <f t="shared" si="2"/>
        <v>Sep</v>
      </c>
      <c r="S96" s="2" t="str">
        <f t="shared" si="3"/>
        <v>Q3</v>
      </c>
      <c r="T96" s="2">
        <f t="shared" si="4"/>
        <v>50426.49</v>
      </c>
    </row>
    <row r="97">
      <c r="A97" s="7" t="s">
        <v>344</v>
      </c>
      <c r="B97" s="7" t="s">
        <v>345</v>
      </c>
      <c r="C97" s="7" t="s">
        <v>34</v>
      </c>
      <c r="D97" s="7" t="s">
        <v>54</v>
      </c>
      <c r="E97" s="7" t="s">
        <v>55</v>
      </c>
      <c r="F97" s="7" t="s">
        <v>346</v>
      </c>
      <c r="G97" s="7">
        <v>74351.66</v>
      </c>
      <c r="H97" s="7" t="s">
        <v>26</v>
      </c>
      <c r="I97" s="7" t="s">
        <v>237</v>
      </c>
      <c r="J97" s="7" t="s">
        <v>66</v>
      </c>
      <c r="K97" s="7" t="s">
        <v>67</v>
      </c>
      <c r="L97" s="7"/>
      <c r="N97" s="2" t="str">
        <f t="shared" si="1"/>
        <v>Marketing</v>
      </c>
      <c r="O97" s="6">
        <f>IFERROR(__xludf.DUMMYFUNCTION("IFERROR(
  IF(LEN(TRIM(B97))=6,
    DATE(2000+VALUE(RIGHT(TRIM(B97),2)),MATCH(LEFT(TRIM(B97),3),{""Jan"",""Feb"",""Mar"",""Apr"",""May"",""Jun"",""Jul"",""Aug"",""Sep"",""Oct"",""Nov"",""Dec""},0),15),
  IF(REGEXMATCH(TRIM(B97),""^\d{2}[/-]\d{2}[/-]\d{4}$"&amp;"""),
    DATE(VALUE(RIGHT(TRIM(B97),4)),VALUE(MID(TRIM(B97),4,2)),VALUE(LEFT(TRIM(B97),2))),
  DATEVALUE(TRIM(B97)))),
""CHECK"")"),45410.0)</f>
        <v>45410</v>
      </c>
      <c r="R97" s="2" t="str">
        <f t="shared" si="2"/>
        <v>Apr</v>
      </c>
      <c r="S97" s="2" t="str">
        <f t="shared" si="3"/>
        <v>Q2</v>
      </c>
      <c r="T97" s="2">
        <f t="shared" si="4"/>
        <v>74351.66</v>
      </c>
    </row>
    <row r="98">
      <c r="A98" s="5" t="s">
        <v>347</v>
      </c>
      <c r="B98" s="5" t="s">
        <v>247</v>
      </c>
      <c r="C98" s="5" t="s">
        <v>34</v>
      </c>
      <c r="D98" s="5" t="s">
        <v>111</v>
      </c>
      <c r="E98" s="5" t="s">
        <v>97</v>
      </c>
      <c r="F98" s="5" t="s">
        <v>348</v>
      </c>
      <c r="G98" s="5">
        <v>28776.79</v>
      </c>
      <c r="H98" s="5" t="s">
        <v>26</v>
      </c>
      <c r="I98" s="5" t="s">
        <v>103</v>
      </c>
      <c r="J98" s="5" t="s">
        <v>66</v>
      </c>
      <c r="K98" s="5" t="s">
        <v>67</v>
      </c>
      <c r="L98" s="5"/>
      <c r="N98" s="2" t="str">
        <f t="shared" si="1"/>
        <v>Sales</v>
      </c>
      <c r="O98" s="6">
        <f>IFERROR(__xludf.DUMMYFUNCTION("IFERROR(
  IF(LEN(TRIM(B98))=6,
    DATE(2000+VALUE(RIGHT(TRIM(B98),2)),MATCH(LEFT(TRIM(B98),3),{""Jan"",""Feb"",""Mar"",""Apr"",""May"",""Jun"",""Jul"",""Aug"",""Sep"",""Oct"",""Nov"",""Dec""},0),15),
  IF(REGEXMATCH(TRIM(B98),""^\d{2}[/-]\d{2}[/-]\d{4}$"&amp;"""),
    DATE(VALUE(RIGHT(TRIM(B98),4)),VALUE(MID(TRIM(B98),4,2)),VALUE(LEFT(TRIM(B98),2))),
  DATEVALUE(TRIM(B98)))),
""CHECK"")"),45397.0)</f>
        <v>45397</v>
      </c>
      <c r="R98" s="2" t="str">
        <f t="shared" si="2"/>
        <v>Apr</v>
      </c>
      <c r="S98" s="2" t="str">
        <f t="shared" si="3"/>
        <v>Q2</v>
      </c>
      <c r="T98" s="2">
        <f t="shared" si="4"/>
        <v>28776.79</v>
      </c>
    </row>
    <row r="99">
      <c r="A99" s="7" t="s">
        <v>349</v>
      </c>
      <c r="B99" s="7" t="s">
        <v>350</v>
      </c>
      <c r="C99" s="7" t="s">
        <v>22</v>
      </c>
      <c r="D99" s="7" t="s">
        <v>85</v>
      </c>
      <c r="E99" s="7" t="s">
        <v>24</v>
      </c>
      <c r="F99" s="7" t="s">
        <v>164</v>
      </c>
      <c r="G99" s="7">
        <v>27844.39</v>
      </c>
      <c r="H99" s="7" t="s">
        <v>26</v>
      </c>
      <c r="I99" s="7" t="s">
        <v>43</v>
      </c>
      <c r="J99" s="7" t="s">
        <v>66</v>
      </c>
      <c r="K99" s="7" t="s">
        <v>67</v>
      </c>
      <c r="L99" s="7"/>
      <c r="N99" s="2" t="str">
        <f t="shared" si="1"/>
        <v>Sales</v>
      </c>
      <c r="O99" s="6">
        <f>IFERROR(__xludf.DUMMYFUNCTION("IFERROR(
  IF(LEN(TRIM(B99))=6,
    DATE(2000+VALUE(RIGHT(TRIM(B99),2)),MATCH(LEFT(TRIM(B99),3),{""Jan"",""Feb"",""Mar"",""Apr"",""May"",""Jun"",""Jul"",""Aug"",""Sep"",""Oct"",""Nov"",""Dec""},0),15),
  IF(REGEXMATCH(TRIM(B99),""^\d{2}[/-]\d{2}[/-]\d{4}$"&amp;"""),
    DATE(VALUE(RIGHT(TRIM(B99),4)),VALUE(MID(TRIM(B99),4,2)),VALUE(LEFT(TRIM(B99),2))),
  DATEVALUE(TRIM(B99)))),
""CHECK"")"),45407.0)</f>
        <v>45407</v>
      </c>
      <c r="R99" s="2" t="str">
        <f t="shared" si="2"/>
        <v>Apr</v>
      </c>
      <c r="S99" s="2" t="str">
        <f t="shared" si="3"/>
        <v>Q2</v>
      </c>
      <c r="T99" s="2">
        <f t="shared" si="4"/>
        <v>27844.39</v>
      </c>
    </row>
    <row r="100">
      <c r="A100" s="5" t="s">
        <v>351</v>
      </c>
      <c r="B100" s="5" t="s">
        <v>352</v>
      </c>
      <c r="C100" s="5" t="s">
        <v>34</v>
      </c>
      <c r="D100" s="5" t="s">
        <v>82</v>
      </c>
      <c r="E100" s="5" t="s">
        <v>81</v>
      </c>
      <c r="F100" s="5" t="s">
        <v>353</v>
      </c>
      <c r="G100" s="5">
        <v>27284.9</v>
      </c>
      <c r="H100" s="5" t="s">
        <v>26</v>
      </c>
      <c r="I100" s="5" t="s">
        <v>206</v>
      </c>
      <c r="J100" s="5" t="s">
        <v>73</v>
      </c>
      <c r="K100" s="5" t="s">
        <v>59</v>
      </c>
      <c r="L100" s="5"/>
      <c r="N100" s="2" t="str">
        <f t="shared" si="1"/>
        <v>Engineering</v>
      </c>
      <c r="O100" s="6">
        <f>IFERROR(__xludf.DUMMYFUNCTION("IFERROR(
  IF(LEN(TRIM(B100))=6,
    DATE(2000+VALUE(RIGHT(TRIM(B100),2)),MATCH(LEFT(TRIM(B100),3),{""Jan"",""Feb"",""Mar"",""Apr"",""May"",""Jun"",""Jul"",""Aug"",""Sep"",""Oct"",""Nov"",""Dec""},0),15),
  IF(REGEXMATCH(TRIM(B100),""^\d{2}[/-]\d{2}[/-]\d"&amp;"{4}$""),
    DATE(VALUE(RIGHT(TRIM(B100),4)),VALUE(MID(TRIM(B100),4,2)),VALUE(LEFT(TRIM(B100),2))),
  DATEVALUE(TRIM(B100)))),
""CHECK"")"),45562.0)</f>
        <v>45562</v>
      </c>
      <c r="R100" s="2" t="str">
        <f t="shared" si="2"/>
        <v>Sep</v>
      </c>
      <c r="S100" s="2" t="str">
        <f t="shared" si="3"/>
        <v>Q3</v>
      </c>
      <c r="T100" s="2">
        <f t="shared" si="4"/>
        <v>27284.9</v>
      </c>
    </row>
    <row r="101">
      <c r="A101" s="7" t="s">
        <v>354</v>
      </c>
      <c r="B101" s="7" t="s">
        <v>355</v>
      </c>
      <c r="C101" s="7" t="s">
        <v>34</v>
      </c>
      <c r="D101" s="7" t="s">
        <v>54</v>
      </c>
      <c r="E101" s="7" t="s">
        <v>55</v>
      </c>
      <c r="F101" s="7" t="s">
        <v>356</v>
      </c>
      <c r="G101" s="7">
        <v>48436.88</v>
      </c>
      <c r="H101" s="7" t="s">
        <v>26</v>
      </c>
      <c r="I101" s="7" t="s">
        <v>231</v>
      </c>
      <c r="J101" s="7" t="s">
        <v>73</v>
      </c>
      <c r="K101" s="7" t="s">
        <v>59</v>
      </c>
      <c r="L101" s="7"/>
      <c r="N101" s="2" t="str">
        <f t="shared" si="1"/>
        <v>Marketing</v>
      </c>
      <c r="O101" s="6">
        <f>IFERROR(__xludf.DUMMYFUNCTION("IFERROR(
  IF(LEN(TRIM(B101))=6,
    DATE(2000+VALUE(RIGHT(TRIM(B101),2)),MATCH(LEFT(TRIM(B101),3),{""Jan"",""Feb"",""Mar"",""Apr"",""May"",""Jun"",""Jul"",""Aug"",""Sep"",""Oct"",""Nov"",""Dec""},0),15),
  IF(REGEXMATCH(TRIM(B101),""^\d{2}[/-]\d{2}[/-]\d"&amp;"{4}$""),
    DATE(VALUE(RIGHT(TRIM(B101),4)),VALUE(MID(TRIM(B101),4,2)),VALUE(LEFT(TRIM(B101),2))),
  DATEVALUE(TRIM(B101)))),
""CHECK"")"),45565.0)</f>
        <v>45565</v>
      </c>
      <c r="R101" s="2" t="str">
        <f t="shared" si="2"/>
        <v>Sep</v>
      </c>
      <c r="S101" s="2" t="str">
        <f t="shared" si="3"/>
        <v>Q3</v>
      </c>
      <c r="T101" s="2">
        <f t="shared" si="4"/>
        <v>48436.88</v>
      </c>
    </row>
    <row r="102">
      <c r="A102" s="5" t="s">
        <v>357</v>
      </c>
      <c r="B102" s="5" t="s">
        <v>358</v>
      </c>
      <c r="C102" s="5" t="s">
        <v>22</v>
      </c>
      <c r="D102" s="5" t="s">
        <v>23</v>
      </c>
      <c r="E102" s="5" t="s">
        <v>111</v>
      </c>
      <c r="F102" s="5" t="s">
        <v>359</v>
      </c>
      <c r="G102" s="5">
        <v>93784.77</v>
      </c>
      <c r="H102" s="5" t="s">
        <v>26</v>
      </c>
      <c r="I102" s="5" t="s">
        <v>213</v>
      </c>
      <c r="J102" s="5" t="s">
        <v>108</v>
      </c>
      <c r="K102" s="5" t="s">
        <v>59</v>
      </c>
      <c r="L102" s="5"/>
      <c r="N102" s="2" t="str">
        <f t="shared" si="1"/>
        <v>Sales</v>
      </c>
      <c r="O102" s="6">
        <f>IFERROR(__xludf.DUMMYFUNCTION("IFERROR(
  IF(LEN(TRIM(B102))=6,
    DATE(2000+VALUE(RIGHT(TRIM(B102),2)),MATCH(LEFT(TRIM(B102),3),{""Jan"",""Feb"",""Mar"",""Apr"",""May"",""Jun"",""Jul"",""Aug"",""Sep"",""Oct"",""Nov"",""Dec""},0),15),
  IF(REGEXMATCH(TRIM(B102),""^\d{2}[/-]\d{2}[/-]\d"&amp;"{4}$""),
    DATE(VALUE(RIGHT(TRIM(B102),4)),VALUE(MID(TRIM(B102),4,2)),VALUE(LEFT(TRIM(B102),2))),
  DATEVALUE(TRIM(B102)))),
""CHECK"")"),45509.0)</f>
        <v>45509</v>
      </c>
      <c r="R102" s="2" t="str">
        <f t="shared" si="2"/>
        <v>Aug</v>
      </c>
      <c r="S102" s="2" t="str">
        <f t="shared" si="3"/>
        <v>Q3</v>
      </c>
      <c r="T102" s="2">
        <f t="shared" si="4"/>
        <v>93784.77</v>
      </c>
    </row>
    <row r="103">
      <c r="A103" s="7" t="s">
        <v>360</v>
      </c>
      <c r="B103" s="7" t="s">
        <v>361</v>
      </c>
      <c r="C103" s="7" t="s">
        <v>34</v>
      </c>
      <c r="D103" s="7" t="s">
        <v>90</v>
      </c>
      <c r="E103" s="7" t="s">
        <v>90</v>
      </c>
      <c r="F103" s="7" t="s">
        <v>362</v>
      </c>
      <c r="G103" s="7">
        <v>25943.25</v>
      </c>
      <c r="H103" s="7" t="s">
        <v>26</v>
      </c>
      <c r="I103" s="7" t="s">
        <v>237</v>
      </c>
      <c r="J103" s="7" t="s">
        <v>38</v>
      </c>
      <c r="K103" s="7" t="s">
        <v>39</v>
      </c>
      <c r="L103" s="7"/>
      <c r="N103" s="2" t="str">
        <f t="shared" si="1"/>
        <v>G&amp;A</v>
      </c>
      <c r="O103" s="6">
        <f>IFERROR(__xludf.DUMMYFUNCTION("IFERROR(
  IF(LEN(TRIM(B103))=6,
    DATE(2000+VALUE(RIGHT(TRIM(B103),2)),MATCH(LEFT(TRIM(B103),3),{""Jan"",""Feb"",""Mar"",""Apr"",""May"",""Jun"",""Jul"",""Aug"",""Sep"",""Oct"",""Nov"",""Dec""},0),15),
  IF(REGEXMATCH(TRIM(B103),""^\d{2}[/-]\d{2}[/-]\d"&amp;"{4}$""),
    DATE(VALUE(RIGHT(TRIM(B103),4)),VALUE(MID(TRIM(B103),4,2)),VALUE(LEFT(TRIM(B103),2))),
  DATEVALUE(TRIM(B103)))),
""CHECK"")"),45394.0)</f>
        <v>45394</v>
      </c>
      <c r="R103" s="2" t="str">
        <f t="shared" si="2"/>
        <v>Apr</v>
      </c>
      <c r="S103" s="2" t="str">
        <f t="shared" si="3"/>
        <v>Q2</v>
      </c>
      <c r="T103" s="2">
        <f t="shared" si="4"/>
        <v>25943.25</v>
      </c>
    </row>
    <row r="104">
      <c r="A104" s="5" t="s">
        <v>363</v>
      </c>
      <c r="B104" s="5" t="s">
        <v>364</v>
      </c>
      <c r="C104" s="5" t="s">
        <v>34</v>
      </c>
      <c r="D104" s="5" t="s">
        <v>31</v>
      </c>
      <c r="E104" s="5" t="s">
        <v>145</v>
      </c>
      <c r="F104" s="5" t="s">
        <v>365</v>
      </c>
      <c r="G104" s="5"/>
      <c r="H104" s="5" t="s">
        <v>26</v>
      </c>
      <c r="I104" s="5" t="s">
        <v>57</v>
      </c>
      <c r="J104" s="5" t="s">
        <v>49</v>
      </c>
      <c r="K104" s="5" t="s">
        <v>39</v>
      </c>
      <c r="L104" s="5"/>
      <c r="N104" s="2" t="str">
        <f t="shared" si="1"/>
        <v>Cloud Infrastructure</v>
      </c>
      <c r="O104" s="6">
        <f>IFERROR(__xludf.DUMMYFUNCTION("IFERROR(
  IF(LEN(TRIM(B104))=6,
    DATE(2000+VALUE(RIGHT(TRIM(B104),2)),MATCH(LEFT(TRIM(B104),3),{""Jan"",""Feb"",""Mar"",""Apr"",""May"",""Jun"",""Jul"",""Aug"",""Sep"",""Oct"",""Nov"",""Dec""},0),15),
  IF(REGEXMATCH(TRIM(B104),""^\d{2}[/-]\d{2}[/-]\d"&amp;"{4}$""),
    DATE(VALUE(RIGHT(TRIM(B104),4)),VALUE(MID(TRIM(B104),4,2)),VALUE(LEFT(TRIM(B104),2))),
  DATEVALUE(TRIM(B104)))),
""CHECK"")"),45580.0)</f>
        <v>45580</v>
      </c>
      <c r="R104" s="2" t="str">
        <f t="shared" si="2"/>
        <v>Oct</v>
      </c>
      <c r="S104" s="2" t="str">
        <f t="shared" si="3"/>
        <v>Q4</v>
      </c>
      <c r="T104" s="2">
        <f t="shared" si="4"/>
        <v>0</v>
      </c>
    </row>
    <row r="105">
      <c r="A105" s="7" t="s">
        <v>366</v>
      </c>
      <c r="B105" s="7" t="s">
        <v>367</v>
      </c>
      <c r="C105" s="7" t="s">
        <v>34</v>
      </c>
      <c r="D105" s="7" t="s">
        <v>31</v>
      </c>
      <c r="E105" s="7" t="s">
        <v>31</v>
      </c>
      <c r="F105" s="7" t="s">
        <v>197</v>
      </c>
      <c r="G105" s="7">
        <v>13083.66</v>
      </c>
      <c r="H105" s="7" t="s">
        <v>26</v>
      </c>
      <c r="I105" s="7" t="s">
        <v>93</v>
      </c>
      <c r="J105" s="7" t="s">
        <v>87</v>
      </c>
      <c r="K105" s="7" t="s">
        <v>67</v>
      </c>
      <c r="L105" s="7"/>
      <c r="N105" s="2" t="str">
        <f t="shared" si="1"/>
        <v>Cloud Infrastructure</v>
      </c>
      <c r="O105" s="6">
        <f>IFERROR(__xludf.DUMMYFUNCTION("IFERROR(
  IF(LEN(TRIM(B105))=6,
    DATE(2000+VALUE(RIGHT(TRIM(B105),2)),MATCH(LEFT(TRIM(B105),3),{""Jan"",""Feb"",""Mar"",""Apr"",""May"",""Jun"",""Jul"",""Aug"",""Sep"",""Oct"",""Nov"",""Dec""},0),15),
  IF(REGEXMATCH(TRIM(B105),""^\d{2}[/-]\d{2}[/-]\d"&amp;"{4}$""),
    DATE(VALUE(RIGHT(TRIM(B105),4)),VALUE(MID(TRIM(B105),4,2)),VALUE(LEFT(TRIM(B105),2))),
  DATEVALUE(TRIM(B105)))),
""CHECK"")"),45425.0)</f>
        <v>45425</v>
      </c>
      <c r="R105" s="2" t="str">
        <f t="shared" si="2"/>
        <v>May</v>
      </c>
      <c r="S105" s="2" t="str">
        <f t="shared" si="3"/>
        <v>Q2</v>
      </c>
      <c r="T105" s="2">
        <f t="shared" si="4"/>
        <v>13083.66</v>
      </c>
    </row>
    <row r="106">
      <c r="A106" s="5" t="s">
        <v>368</v>
      </c>
      <c r="B106" s="5" t="s">
        <v>369</v>
      </c>
      <c r="C106" s="5" t="s">
        <v>22</v>
      </c>
      <c r="D106" s="5" t="s">
        <v>62</v>
      </c>
      <c r="E106" s="5" t="s">
        <v>97</v>
      </c>
      <c r="F106" s="5" t="s">
        <v>370</v>
      </c>
      <c r="G106" s="5">
        <v>7716.39</v>
      </c>
      <c r="H106" s="5" t="s">
        <v>26</v>
      </c>
      <c r="I106" s="5" t="s">
        <v>72</v>
      </c>
      <c r="J106" s="5" t="s">
        <v>58</v>
      </c>
      <c r="K106" s="5" t="s">
        <v>59</v>
      </c>
      <c r="L106" s="5"/>
      <c r="N106" s="2" t="str">
        <f t="shared" si="1"/>
        <v>Sales</v>
      </c>
      <c r="O106" s="6">
        <f>IFERROR(__xludf.DUMMYFUNCTION("IFERROR(
  IF(LEN(TRIM(B106))=6,
    DATE(2000+VALUE(RIGHT(TRIM(B106),2)),MATCH(LEFT(TRIM(B106),3),{""Jan"",""Feb"",""Mar"",""Apr"",""May"",""Jun"",""Jul"",""Aug"",""Sep"",""Oct"",""Nov"",""Dec""},0),15),
  IF(REGEXMATCH(TRIM(B106),""^\d{2}[/-]\d{2}[/-]\d"&amp;"{4}$""),
    DATE(VALUE(RIGHT(TRIM(B106),4)),VALUE(MID(TRIM(B106),4,2)),VALUE(LEFT(TRIM(B106),2))),
  DATEVALUE(TRIM(B106)))),
""CHECK"")"),45498.0)</f>
        <v>45498</v>
      </c>
      <c r="R106" s="2" t="str">
        <f t="shared" si="2"/>
        <v>Jul</v>
      </c>
      <c r="S106" s="2" t="str">
        <f t="shared" si="3"/>
        <v>Q3</v>
      </c>
      <c r="T106" s="2">
        <f t="shared" si="4"/>
        <v>7716.39</v>
      </c>
    </row>
    <row r="107">
      <c r="A107" s="7" t="s">
        <v>371</v>
      </c>
      <c r="B107" s="7" t="s">
        <v>372</v>
      </c>
      <c r="C107" s="7" t="s">
        <v>22</v>
      </c>
      <c r="D107" s="7" t="s">
        <v>62</v>
      </c>
      <c r="E107" s="7" t="s">
        <v>111</v>
      </c>
      <c r="F107" s="7" t="s">
        <v>335</v>
      </c>
      <c r="G107" s="7">
        <v>8210.02</v>
      </c>
      <c r="H107" s="7" t="s">
        <v>26</v>
      </c>
      <c r="I107" s="7" t="s">
        <v>72</v>
      </c>
      <c r="J107" s="7" t="s">
        <v>108</v>
      </c>
      <c r="K107" s="7" t="s">
        <v>59</v>
      </c>
      <c r="L107" s="7"/>
      <c r="N107" s="2" t="str">
        <f t="shared" si="1"/>
        <v>Sales</v>
      </c>
      <c r="O107" s="6">
        <f>IFERROR(__xludf.DUMMYFUNCTION("IFERROR(
  IF(LEN(TRIM(B107))=6,
    DATE(2000+VALUE(RIGHT(TRIM(B107),2)),MATCH(LEFT(TRIM(B107),3),{""Jan"",""Feb"",""Mar"",""Apr"",""May"",""Jun"",""Jul"",""Aug"",""Sep"",""Oct"",""Nov"",""Dec""},0),15),
  IF(REGEXMATCH(TRIM(B107),""^\d{2}[/-]\d{2}[/-]\d"&amp;"{4}$""),
    DATE(VALUE(RIGHT(TRIM(B107),4)),VALUE(MID(TRIM(B107),4,2)),VALUE(LEFT(TRIM(B107),2))),
  DATEVALUE(TRIM(B107)))),
""CHECK"")"),45533.0)</f>
        <v>45533</v>
      </c>
      <c r="R107" s="2" t="str">
        <f t="shared" si="2"/>
        <v>Aug</v>
      </c>
      <c r="S107" s="2" t="str">
        <f t="shared" si="3"/>
        <v>Q3</v>
      </c>
      <c r="T107" s="2">
        <f t="shared" si="4"/>
        <v>8210.02</v>
      </c>
    </row>
    <row r="108">
      <c r="A108" s="5" t="s">
        <v>373</v>
      </c>
      <c r="B108" s="5" t="s">
        <v>374</v>
      </c>
      <c r="C108" s="5" t="s">
        <v>22</v>
      </c>
      <c r="D108" s="5" t="s">
        <v>62</v>
      </c>
      <c r="E108" s="5" t="s">
        <v>97</v>
      </c>
      <c r="F108" s="5" t="s">
        <v>152</v>
      </c>
      <c r="G108" s="5">
        <v>16270.3</v>
      </c>
      <c r="H108" s="5" t="s">
        <v>26</v>
      </c>
      <c r="I108" s="5" t="s">
        <v>134</v>
      </c>
      <c r="J108" s="5" t="s">
        <v>87</v>
      </c>
      <c r="K108" s="5" t="s">
        <v>67</v>
      </c>
      <c r="L108" s="5"/>
      <c r="N108" s="2" t="str">
        <f t="shared" si="1"/>
        <v>Sales</v>
      </c>
      <c r="O108" s="6">
        <f>IFERROR(__xludf.DUMMYFUNCTION("IFERROR(
  IF(LEN(TRIM(B108))=6,
    DATE(2000+VALUE(RIGHT(TRIM(B108),2)),MATCH(LEFT(TRIM(B108),3),{""Jan"",""Feb"",""Mar"",""Apr"",""May"",""Jun"",""Jul"",""Aug"",""Sep"",""Oct"",""Nov"",""Dec""},0),15),
  IF(REGEXMATCH(TRIM(B108),""^\d{2}[/-]\d{2}[/-]\d"&amp;"{4}$""),
    DATE(VALUE(RIGHT(TRIM(B108),4)),VALUE(MID(TRIM(B108),4,2)),VALUE(LEFT(TRIM(B108),2))),
  DATEVALUE(TRIM(B108)))),
""CHECK"")"),45422.0)</f>
        <v>45422</v>
      </c>
      <c r="R108" s="2" t="str">
        <f t="shared" si="2"/>
        <v>May</v>
      </c>
      <c r="S108" s="2" t="str">
        <f t="shared" si="3"/>
        <v>Q2</v>
      </c>
      <c r="T108" s="2">
        <f t="shared" si="4"/>
        <v>16270.3</v>
      </c>
    </row>
    <row r="109">
      <c r="A109" s="7" t="s">
        <v>375</v>
      </c>
      <c r="B109" s="7" t="s">
        <v>376</v>
      </c>
      <c r="C109" s="7" t="s">
        <v>34</v>
      </c>
      <c r="D109" s="7" t="s">
        <v>54</v>
      </c>
      <c r="E109" s="7" t="s">
        <v>130</v>
      </c>
      <c r="F109" s="7" t="s">
        <v>377</v>
      </c>
      <c r="G109" s="7">
        <v>51183.7</v>
      </c>
      <c r="H109" s="7" t="s">
        <v>26</v>
      </c>
      <c r="I109" s="7" t="s">
        <v>37</v>
      </c>
      <c r="J109" s="7" t="s">
        <v>73</v>
      </c>
      <c r="K109" s="7" t="s">
        <v>59</v>
      </c>
      <c r="L109" s="7"/>
      <c r="N109" s="2" t="str">
        <f t="shared" si="1"/>
        <v>Marketing</v>
      </c>
      <c r="O109" s="6">
        <f>IFERROR(__xludf.DUMMYFUNCTION("IFERROR(
  IF(LEN(TRIM(B109))=6,
    DATE(2000+VALUE(RIGHT(TRIM(B109),2)),MATCH(LEFT(TRIM(B109),3),{""Jan"",""Feb"",""Mar"",""Apr"",""May"",""Jun"",""Jul"",""Aug"",""Sep"",""Oct"",""Nov"",""Dec""},0),15),
  IF(REGEXMATCH(TRIM(B109),""^\d{2}[/-]\d{2}[/-]\d"&amp;"{4}$""),
    DATE(VALUE(RIGHT(TRIM(B109),4)),VALUE(MID(TRIM(B109),4,2)),VALUE(LEFT(TRIM(B109),2))),
  DATEVALUE(TRIM(B109)))),
""CHECK"")"),45538.0)</f>
        <v>45538</v>
      </c>
      <c r="R109" s="2" t="str">
        <f t="shared" si="2"/>
        <v>Sep</v>
      </c>
      <c r="S109" s="2" t="str">
        <f t="shared" si="3"/>
        <v>Q3</v>
      </c>
      <c r="T109" s="2">
        <f t="shared" si="4"/>
        <v>51183.7</v>
      </c>
    </row>
    <row r="110">
      <c r="A110" s="5" t="s">
        <v>378</v>
      </c>
      <c r="B110" s="5" t="s">
        <v>379</v>
      </c>
      <c r="C110" s="5" t="s">
        <v>34</v>
      </c>
      <c r="D110" s="5" t="s">
        <v>90</v>
      </c>
      <c r="E110" s="5" t="s">
        <v>114</v>
      </c>
      <c r="F110" s="5" t="s">
        <v>380</v>
      </c>
      <c r="G110" s="5">
        <v>27241.24</v>
      </c>
      <c r="H110" s="5" t="s">
        <v>26</v>
      </c>
      <c r="I110" s="5" t="s">
        <v>57</v>
      </c>
      <c r="J110" s="5" t="s">
        <v>28</v>
      </c>
      <c r="K110" s="5" t="s">
        <v>29</v>
      </c>
      <c r="L110" s="5"/>
      <c r="N110" s="2" t="str">
        <f t="shared" si="1"/>
        <v>G&amp;A</v>
      </c>
      <c r="O110" s="6">
        <f>IFERROR(__xludf.DUMMYFUNCTION("IFERROR(
  IF(LEN(TRIM(B110))=6,
    DATE(2000+VALUE(RIGHT(TRIM(B110),2)),MATCH(LEFT(TRIM(B110),3),{""Jan"",""Feb"",""Mar"",""Apr"",""May"",""Jun"",""Jul"",""Aug"",""Sep"",""Oct"",""Nov"",""Dec""},0),15),
  IF(REGEXMATCH(TRIM(B110),""^\d{2}[/-]\d{2}[/-]\d"&amp;"{4}$""),
    DATE(VALUE(RIGHT(TRIM(B110),4)),VALUE(MID(TRIM(B110),4,2)),VALUE(LEFT(TRIM(B110),2))),
  DATEVALUE(TRIM(B110)))),
""CHECK"")"),45658.0)</f>
        <v>45658</v>
      </c>
      <c r="R110" s="2" t="str">
        <f t="shared" si="2"/>
        <v>Jan</v>
      </c>
      <c r="S110" s="2" t="str">
        <f t="shared" si="3"/>
        <v>Q1</v>
      </c>
      <c r="T110" s="2">
        <f t="shared" si="4"/>
        <v>27241.24</v>
      </c>
    </row>
    <row r="111">
      <c r="A111" s="7" t="s">
        <v>381</v>
      </c>
      <c r="B111" s="7" t="s">
        <v>332</v>
      </c>
      <c r="C111" s="7" t="s">
        <v>22</v>
      </c>
      <c r="D111" s="7" t="s">
        <v>23</v>
      </c>
      <c r="E111" s="7" t="s">
        <v>111</v>
      </c>
      <c r="F111" s="7" t="s">
        <v>187</v>
      </c>
      <c r="G111" s="7">
        <v>112263.8</v>
      </c>
      <c r="H111" s="7" t="s">
        <v>26</v>
      </c>
      <c r="I111" s="7" t="s">
        <v>72</v>
      </c>
      <c r="J111" s="7" t="s">
        <v>113</v>
      </c>
      <c r="K111" s="7" t="s">
        <v>67</v>
      </c>
      <c r="L111" s="7"/>
      <c r="N111" s="2" t="str">
        <f t="shared" si="1"/>
        <v>Sales</v>
      </c>
      <c r="O111" s="6">
        <f>IFERROR(__xludf.DUMMYFUNCTION("IFERROR(
  IF(LEN(TRIM(B111))=6,
    DATE(2000+VALUE(RIGHT(TRIM(B111),2)),MATCH(LEFT(TRIM(B111),3),{""Jan"",""Feb"",""Mar"",""Apr"",""May"",""Jun"",""Jul"",""Aug"",""Sep"",""Oct"",""Nov"",""Dec""},0),15),
  IF(REGEXMATCH(TRIM(B111),""^\d{2}[/-]\d{2}[/-]\d"&amp;"{4}$""),
    DATE(VALUE(RIGHT(TRIM(B111),4)),VALUE(MID(TRIM(B111),4,2)),VALUE(LEFT(TRIM(B111),2))),
  DATEVALUE(TRIM(B111)))),
""CHECK"")"),45458.0)</f>
        <v>45458</v>
      </c>
      <c r="R111" s="2" t="str">
        <f t="shared" si="2"/>
        <v>Jun</v>
      </c>
      <c r="S111" s="2" t="str">
        <f t="shared" si="3"/>
        <v>Q2</v>
      </c>
      <c r="T111" s="2">
        <f t="shared" si="4"/>
        <v>112263.8</v>
      </c>
    </row>
    <row r="112">
      <c r="A112" s="5" t="s">
        <v>382</v>
      </c>
      <c r="B112" s="5" t="s">
        <v>383</v>
      </c>
      <c r="C112" s="5" t="s">
        <v>34</v>
      </c>
      <c r="D112" s="5" t="s">
        <v>51</v>
      </c>
      <c r="E112" s="5" t="s">
        <v>50</v>
      </c>
      <c r="F112" s="5" t="s">
        <v>384</v>
      </c>
      <c r="G112" s="5">
        <v>14226.91</v>
      </c>
      <c r="H112" s="5" t="s">
        <v>26</v>
      </c>
      <c r="I112" s="5" t="s">
        <v>168</v>
      </c>
      <c r="J112" s="5" t="s">
        <v>142</v>
      </c>
      <c r="K112" s="5" t="s">
        <v>39</v>
      </c>
      <c r="L112" s="5"/>
      <c r="N112" s="2" t="str">
        <f t="shared" si="1"/>
        <v>Customer Success</v>
      </c>
      <c r="O112" s="6">
        <f>IFERROR(__xludf.DUMMYFUNCTION("IFERROR(
  IF(LEN(TRIM(B112))=6,
    DATE(2000+VALUE(RIGHT(TRIM(B112),2)),MATCH(LEFT(TRIM(B112),3),{""Jan"",""Feb"",""Mar"",""Apr"",""May"",""Jun"",""Jul"",""Aug"",""Sep"",""Oct"",""Nov"",""Dec""},0),15),
  IF(REGEXMATCH(TRIM(B112),""^\d{2}[/-]\d{2}[/-]\d"&amp;"{4}$""),
    DATE(VALUE(RIGHT(TRIM(B112),4)),VALUE(MID(TRIM(B112),4,2)),VALUE(LEFT(TRIM(B112),2))),
  DATEVALUE(TRIM(B112)))),
""CHECK"")"),45622.0)</f>
        <v>45622</v>
      </c>
      <c r="R112" s="2" t="str">
        <f t="shared" si="2"/>
        <v>Nov</v>
      </c>
      <c r="S112" s="2" t="str">
        <f t="shared" si="3"/>
        <v>Q4</v>
      </c>
      <c r="T112" s="2">
        <f t="shared" si="4"/>
        <v>14226.91</v>
      </c>
    </row>
    <row r="113">
      <c r="A113" s="7" t="s">
        <v>385</v>
      </c>
      <c r="B113" s="7" t="s">
        <v>386</v>
      </c>
      <c r="C113" s="7" t="s">
        <v>34</v>
      </c>
      <c r="D113" s="7" t="s">
        <v>90</v>
      </c>
      <c r="E113" s="7" t="s">
        <v>104</v>
      </c>
      <c r="F113" s="7" t="s">
        <v>387</v>
      </c>
      <c r="G113" s="7">
        <v>17504.65</v>
      </c>
      <c r="H113" s="7" t="s">
        <v>26</v>
      </c>
      <c r="I113" s="7" t="s">
        <v>237</v>
      </c>
      <c r="J113" s="7" t="s">
        <v>73</v>
      </c>
      <c r="K113" s="7" t="s">
        <v>59</v>
      </c>
      <c r="L113" s="7"/>
      <c r="N113" s="2" t="str">
        <f t="shared" si="1"/>
        <v>G&amp;A</v>
      </c>
      <c r="O113" s="6">
        <f>IFERROR(__xludf.DUMMYFUNCTION("IFERROR(
  IF(LEN(TRIM(B113))=6,
    DATE(2000+VALUE(RIGHT(TRIM(B113),2)),MATCH(LEFT(TRIM(B113),3),{""Jan"",""Feb"",""Mar"",""Apr"",""May"",""Jun"",""Jul"",""Aug"",""Sep"",""Oct"",""Nov"",""Dec""},0),15),
  IF(REGEXMATCH(TRIM(B113),""^\d{2}[/-]\d{2}[/-]\d"&amp;"{4}$""),
    DATE(VALUE(RIGHT(TRIM(B113),4)),VALUE(MID(TRIM(B113),4,2)),VALUE(LEFT(TRIM(B113),2))),
  DATEVALUE(TRIM(B113)))),
""CHECK"")"),45538.0)</f>
        <v>45538</v>
      </c>
      <c r="R113" s="2" t="str">
        <f t="shared" si="2"/>
        <v>Sep</v>
      </c>
      <c r="S113" s="2" t="str">
        <f t="shared" si="3"/>
        <v>Q3</v>
      </c>
      <c r="T113" s="2">
        <f t="shared" si="4"/>
        <v>17504.65</v>
      </c>
    </row>
    <row r="114">
      <c r="A114" s="5" t="s">
        <v>388</v>
      </c>
      <c r="B114" s="5" t="s">
        <v>389</v>
      </c>
      <c r="C114" s="5" t="s">
        <v>34</v>
      </c>
      <c r="D114" s="5" t="s">
        <v>54</v>
      </c>
      <c r="E114" s="5" t="s">
        <v>124</v>
      </c>
      <c r="F114" s="5" t="s">
        <v>390</v>
      </c>
      <c r="G114" s="5">
        <v>66012.94</v>
      </c>
      <c r="H114" s="5" t="s">
        <v>26</v>
      </c>
      <c r="I114" s="5" t="s">
        <v>48</v>
      </c>
      <c r="J114" s="5" t="s">
        <v>126</v>
      </c>
      <c r="K114" s="5" t="s">
        <v>29</v>
      </c>
      <c r="L114" s="5"/>
      <c r="N114" s="2" t="str">
        <f t="shared" si="1"/>
        <v>Marketing</v>
      </c>
      <c r="O114" s="6">
        <f>IFERROR(__xludf.DUMMYFUNCTION("IFERROR(
  IF(LEN(TRIM(B114))=6,
    DATE(2000+VALUE(RIGHT(TRIM(B114),2)),MATCH(LEFT(TRIM(B114),3),{""Jan"",""Feb"",""Mar"",""Apr"",""May"",""Jun"",""Jul"",""Aug"",""Sep"",""Oct"",""Nov"",""Dec""},0),15),
  IF(REGEXMATCH(TRIM(B114),""^\d{2}[/-]\d{2}[/-]\d"&amp;"{4}$""),
    DATE(VALUE(RIGHT(TRIM(B114),4)),VALUE(MID(TRIM(B114),4,2)),VALUE(LEFT(TRIM(B114),2))),
  DATEVALUE(TRIM(B114)))),
""CHECK"")"),45348.0)</f>
        <v>45348</v>
      </c>
      <c r="R114" s="2" t="str">
        <f t="shared" si="2"/>
        <v>Feb</v>
      </c>
      <c r="S114" s="2" t="str">
        <f t="shared" si="3"/>
        <v>Q1</v>
      </c>
      <c r="T114" s="2">
        <f t="shared" si="4"/>
        <v>66012.94</v>
      </c>
    </row>
    <row r="115">
      <c r="A115" s="7" t="s">
        <v>391</v>
      </c>
      <c r="B115" s="7" t="s">
        <v>392</v>
      </c>
      <c r="C115" s="7" t="s">
        <v>34</v>
      </c>
      <c r="D115" s="7" t="s">
        <v>31</v>
      </c>
      <c r="E115" s="7" t="s">
        <v>30</v>
      </c>
      <c r="F115" s="7" t="s">
        <v>393</v>
      </c>
      <c r="G115" s="7">
        <v>42965.82</v>
      </c>
      <c r="H115" s="7" t="s">
        <v>26</v>
      </c>
      <c r="I115" s="7" t="s">
        <v>394</v>
      </c>
      <c r="J115" s="7" t="s">
        <v>113</v>
      </c>
      <c r="K115" s="7" t="s">
        <v>67</v>
      </c>
      <c r="L115" s="7"/>
      <c r="N115" s="2" t="str">
        <f t="shared" si="1"/>
        <v>Cloud Infrastructure</v>
      </c>
      <c r="O115" s="6">
        <f>IFERROR(__xludf.DUMMYFUNCTION("IFERROR(
  IF(LEN(TRIM(B115))=6,
    DATE(2000+VALUE(RIGHT(TRIM(B115),2)),MATCH(LEFT(TRIM(B115),3),{""Jan"",""Feb"",""Mar"",""Apr"",""May"",""Jun"",""Jul"",""Aug"",""Sep"",""Oct"",""Nov"",""Dec""},0),15),
  IF(REGEXMATCH(TRIM(B115),""^\d{2}[/-]\d{2}[/-]\d"&amp;"{4}$""),
    DATE(VALUE(RIGHT(TRIM(B115),4)),VALUE(MID(TRIM(B115),4,2)),VALUE(LEFT(TRIM(B115),2))),
  DATEVALUE(TRIM(B115)))),
""CHECK"")"),45466.0)</f>
        <v>45466</v>
      </c>
      <c r="R115" s="2" t="str">
        <f t="shared" si="2"/>
        <v>Jun</v>
      </c>
      <c r="S115" s="2" t="str">
        <f t="shared" si="3"/>
        <v>Q2</v>
      </c>
      <c r="T115" s="2">
        <f t="shared" si="4"/>
        <v>42965.82</v>
      </c>
    </row>
    <row r="116">
      <c r="A116" s="5" t="s">
        <v>395</v>
      </c>
      <c r="B116" s="5" t="s">
        <v>396</v>
      </c>
      <c r="C116" s="5" t="s">
        <v>34</v>
      </c>
      <c r="D116" s="5" t="s">
        <v>54</v>
      </c>
      <c r="E116" s="5" t="s">
        <v>54</v>
      </c>
      <c r="F116" s="5" t="s">
        <v>397</v>
      </c>
      <c r="G116" s="5">
        <v>24325.17</v>
      </c>
      <c r="H116" s="5" t="s">
        <v>26</v>
      </c>
      <c r="I116" s="5" t="s">
        <v>168</v>
      </c>
      <c r="J116" s="5" t="s">
        <v>49</v>
      </c>
      <c r="K116" s="5" t="s">
        <v>39</v>
      </c>
      <c r="L116" s="5"/>
      <c r="N116" s="2" t="str">
        <f t="shared" si="1"/>
        <v>Marketing</v>
      </c>
      <c r="O116" s="6">
        <f>IFERROR(__xludf.DUMMYFUNCTION("IFERROR(
  IF(LEN(TRIM(B116))=6,
    DATE(2000+VALUE(RIGHT(TRIM(B116),2)),MATCH(LEFT(TRIM(B116),3),{""Jan"",""Feb"",""Mar"",""Apr"",""May"",""Jun"",""Jul"",""Aug"",""Sep"",""Oct"",""Nov"",""Dec""},0),15),
  IF(REGEXMATCH(TRIM(B116),""^\d{2}[/-]\d{2}[/-]\d"&amp;"{4}$""),
    DATE(VALUE(RIGHT(TRIM(B116),4)),VALUE(MID(TRIM(B116),4,2)),VALUE(LEFT(TRIM(B116),2))),
  DATEVALUE(TRIM(B116)))),
""CHECK"")"),45636.0)</f>
        <v>45636</v>
      </c>
      <c r="R116" s="2" t="str">
        <f t="shared" si="2"/>
        <v>Dec</v>
      </c>
      <c r="S116" s="2" t="str">
        <f t="shared" si="3"/>
        <v>Q4</v>
      </c>
      <c r="T116" s="2">
        <f t="shared" si="4"/>
        <v>24325.17</v>
      </c>
    </row>
    <row r="117">
      <c r="A117" s="7" t="s">
        <v>398</v>
      </c>
      <c r="B117" s="7" t="s">
        <v>399</v>
      </c>
      <c r="C117" s="7" t="s">
        <v>34</v>
      </c>
      <c r="D117" s="7" t="s">
        <v>82</v>
      </c>
      <c r="E117" s="7" t="s">
        <v>82</v>
      </c>
      <c r="F117" s="7" t="s">
        <v>353</v>
      </c>
      <c r="G117" s="7">
        <v>23086.45</v>
      </c>
      <c r="H117" s="7" t="s">
        <v>26</v>
      </c>
      <c r="I117" s="7" t="s">
        <v>206</v>
      </c>
      <c r="J117" s="7" t="s">
        <v>87</v>
      </c>
      <c r="K117" s="7" t="s">
        <v>67</v>
      </c>
      <c r="L117" s="7"/>
      <c r="N117" s="2" t="str">
        <f t="shared" si="1"/>
        <v>Engineering</v>
      </c>
      <c r="O117" s="6">
        <f>IFERROR(__xludf.DUMMYFUNCTION("IFERROR(
  IF(LEN(TRIM(B117))=6,
    DATE(2000+VALUE(RIGHT(TRIM(B117),2)),MATCH(LEFT(TRIM(B117),3),{""Jan"",""Feb"",""Mar"",""Apr"",""May"",""Jun"",""Jul"",""Aug"",""Sep"",""Oct"",""Nov"",""Dec""},0),15),
  IF(REGEXMATCH(TRIM(B117),""^\d{2}[/-]\d{2}[/-]\d"&amp;"{4}$""),
    DATE(VALUE(RIGHT(TRIM(B117),4)),VALUE(MID(TRIM(B117),4,2)),VALUE(LEFT(TRIM(B117),2))),
  DATEVALUE(TRIM(B117)))),
""CHECK"")"),45421.0)</f>
        <v>45421</v>
      </c>
      <c r="R117" s="2" t="str">
        <f t="shared" si="2"/>
        <v>May</v>
      </c>
      <c r="S117" s="2" t="str">
        <f t="shared" si="3"/>
        <v>Q2</v>
      </c>
      <c r="T117" s="2">
        <f t="shared" si="4"/>
        <v>23086.45</v>
      </c>
    </row>
    <row r="118">
      <c r="A118" s="5" t="s">
        <v>400</v>
      </c>
      <c r="B118" s="5" t="s">
        <v>337</v>
      </c>
      <c r="C118" s="5" t="s">
        <v>34</v>
      </c>
      <c r="D118" s="5" t="s">
        <v>82</v>
      </c>
      <c r="E118" s="5" t="s">
        <v>82</v>
      </c>
      <c r="F118" s="5" t="s">
        <v>401</v>
      </c>
      <c r="G118" s="5">
        <v>27890.57</v>
      </c>
      <c r="H118" s="5" t="s">
        <v>26</v>
      </c>
      <c r="I118" s="5" t="s">
        <v>394</v>
      </c>
      <c r="J118" s="5" t="s">
        <v>142</v>
      </c>
      <c r="K118" s="5" t="s">
        <v>39</v>
      </c>
      <c r="L118" s="5"/>
      <c r="N118" s="2" t="str">
        <f t="shared" si="1"/>
        <v>Engineering</v>
      </c>
      <c r="O118" s="6">
        <f>IFERROR(__xludf.DUMMYFUNCTION("IFERROR(
  IF(LEN(TRIM(B118))=6,
    DATE(2000+VALUE(RIGHT(TRIM(B118),2)),MATCH(LEFT(TRIM(B118),3),{""Jan"",""Feb"",""Mar"",""Apr"",""May"",""Jun"",""Jul"",""Aug"",""Sep"",""Oct"",""Nov"",""Dec""},0),15),
  IF(REGEXMATCH(TRIM(B118),""^\d{2}[/-]\d{2}[/-]\d"&amp;"{4}$""),
    DATE(VALUE(RIGHT(TRIM(B118),4)),VALUE(MID(TRIM(B118),4,2)),VALUE(LEFT(TRIM(B118),2))),
  DATEVALUE(TRIM(B118)))),
""CHECK"")"),45611.0)</f>
        <v>45611</v>
      </c>
      <c r="R118" s="2" t="str">
        <f t="shared" si="2"/>
        <v>Nov</v>
      </c>
      <c r="S118" s="2" t="str">
        <f t="shared" si="3"/>
        <v>Q4</v>
      </c>
      <c r="T118" s="2">
        <f t="shared" si="4"/>
        <v>27890.57</v>
      </c>
    </row>
    <row r="119">
      <c r="A119" s="7" t="s">
        <v>402</v>
      </c>
      <c r="B119" s="7" t="s">
        <v>403</v>
      </c>
      <c r="C119" s="7" t="s">
        <v>22</v>
      </c>
      <c r="D119" s="7" t="s">
        <v>85</v>
      </c>
      <c r="E119" s="7" t="s">
        <v>111</v>
      </c>
      <c r="F119" s="7" t="s">
        <v>86</v>
      </c>
      <c r="G119" s="7">
        <v>40450.51</v>
      </c>
      <c r="H119" s="7" t="s">
        <v>26</v>
      </c>
      <c r="I119" s="7" t="s">
        <v>134</v>
      </c>
      <c r="J119" s="7" t="s">
        <v>38</v>
      </c>
      <c r="K119" s="7" t="s">
        <v>39</v>
      </c>
      <c r="L119" s="7"/>
      <c r="N119" s="2" t="str">
        <f t="shared" si="1"/>
        <v>Sales</v>
      </c>
      <c r="O119" s="6">
        <f>IFERROR(__xludf.DUMMYFUNCTION("IFERROR(
  IF(LEN(TRIM(B119))=6,
    DATE(2000+VALUE(RIGHT(TRIM(B119),2)),MATCH(LEFT(TRIM(B119),3),{""Jan"",""Feb"",""Mar"",""Apr"",""May"",""Jun"",""Jul"",""Aug"",""Sep"",""Oct"",""Nov"",""Dec""},0),15),
  IF(REGEXMATCH(TRIM(B119),""^\d{2}[/-]\d{2}[/-]\d"&amp;"{4}$""),
    DATE(VALUE(RIGHT(TRIM(B119),4)),VALUE(MID(TRIM(B119),4,2)),VALUE(LEFT(TRIM(B119),2))),
  DATEVALUE(TRIM(B119)))),
""CHECK"")"),45643.0)</f>
        <v>45643</v>
      </c>
      <c r="R119" s="2" t="str">
        <f t="shared" si="2"/>
        <v>Dec</v>
      </c>
      <c r="S119" s="2" t="str">
        <f t="shared" si="3"/>
        <v>Q4</v>
      </c>
      <c r="T119" s="2">
        <f t="shared" si="4"/>
        <v>40450.51</v>
      </c>
    </row>
    <row r="120">
      <c r="A120" s="5" t="s">
        <v>404</v>
      </c>
      <c r="B120" s="5" t="s">
        <v>405</v>
      </c>
      <c r="C120" s="5" t="s">
        <v>22</v>
      </c>
      <c r="D120" s="5" t="s">
        <v>85</v>
      </c>
      <c r="E120" s="5" t="s">
        <v>24</v>
      </c>
      <c r="F120" s="5" t="s">
        <v>164</v>
      </c>
      <c r="G120" s="5">
        <v>24554.33</v>
      </c>
      <c r="H120" s="5" t="s">
        <v>26</v>
      </c>
      <c r="I120" s="5" t="s">
        <v>129</v>
      </c>
      <c r="J120" s="5" t="s">
        <v>142</v>
      </c>
      <c r="K120" s="5" t="s">
        <v>39</v>
      </c>
      <c r="L120" s="5"/>
      <c r="N120" s="2" t="str">
        <f t="shared" si="1"/>
        <v>Sales</v>
      </c>
      <c r="O120" s="6">
        <f>IFERROR(__xludf.DUMMYFUNCTION("IFERROR(
  IF(LEN(TRIM(B120))=6,
    DATE(2000+VALUE(RIGHT(TRIM(B120),2)),MATCH(LEFT(TRIM(B120),3),{""Jan"",""Feb"",""Mar"",""Apr"",""May"",""Jun"",""Jul"",""Aug"",""Sep"",""Oct"",""Nov"",""Dec""},0),15),
  IF(REGEXMATCH(TRIM(B120),""^\d{2}[/-]\d{2}[/-]\d"&amp;"{4}$""),
    DATE(VALUE(RIGHT(TRIM(B120),4)),VALUE(MID(TRIM(B120),4,2)),VALUE(LEFT(TRIM(B120),2))),
  DATEVALUE(TRIM(B120)))),
""CHECK"")"),45597.0)</f>
        <v>45597</v>
      </c>
      <c r="R120" s="2" t="str">
        <f t="shared" si="2"/>
        <v>Nov</v>
      </c>
      <c r="S120" s="2" t="str">
        <f t="shared" si="3"/>
        <v>Q4</v>
      </c>
      <c r="T120" s="2">
        <f t="shared" si="4"/>
        <v>24554.33</v>
      </c>
    </row>
    <row r="121">
      <c r="A121" s="7" t="s">
        <v>406</v>
      </c>
      <c r="B121" s="7" t="s">
        <v>407</v>
      </c>
      <c r="C121" s="7" t="s">
        <v>22</v>
      </c>
      <c r="D121" s="7" t="s">
        <v>85</v>
      </c>
      <c r="E121" s="7" t="s">
        <v>97</v>
      </c>
      <c r="F121" s="7" t="s">
        <v>281</v>
      </c>
      <c r="G121" s="7">
        <v>61367.77</v>
      </c>
      <c r="H121" s="7" t="s">
        <v>26</v>
      </c>
      <c r="I121" s="7" t="s">
        <v>72</v>
      </c>
      <c r="J121" s="7" t="s">
        <v>49</v>
      </c>
      <c r="K121" s="7" t="s">
        <v>39</v>
      </c>
      <c r="L121" s="7"/>
      <c r="N121" s="2" t="str">
        <f t="shared" si="1"/>
        <v>Sales</v>
      </c>
      <c r="O121" s="6">
        <f>IFERROR(__xludf.DUMMYFUNCTION("IFERROR(
  IF(LEN(TRIM(B121))=6,
    DATE(2000+VALUE(RIGHT(TRIM(B121),2)),MATCH(LEFT(TRIM(B121),3),{""Jan"",""Feb"",""Mar"",""Apr"",""May"",""Jun"",""Jul"",""Aug"",""Sep"",""Oct"",""Nov"",""Dec""},0),15),
  IF(REGEXMATCH(TRIM(B121),""^\d{2}[/-]\d{2}[/-]\d"&amp;"{4}$""),
    DATE(VALUE(RIGHT(TRIM(B121),4)),VALUE(MID(TRIM(B121),4,2)),VALUE(LEFT(TRIM(B121),2))),
  DATEVALUE(TRIM(B121)))),
""CHECK"")"),45582.0)</f>
        <v>45582</v>
      </c>
      <c r="R121" s="2" t="str">
        <f t="shared" si="2"/>
        <v>Oct</v>
      </c>
      <c r="S121" s="2" t="str">
        <f t="shared" si="3"/>
        <v>Q4</v>
      </c>
      <c r="T121" s="2">
        <f t="shared" si="4"/>
        <v>61367.77</v>
      </c>
    </row>
    <row r="122">
      <c r="A122" s="5" t="s">
        <v>408</v>
      </c>
      <c r="B122" s="5" t="s">
        <v>409</v>
      </c>
      <c r="C122" s="5" t="s">
        <v>34</v>
      </c>
      <c r="D122" s="5" t="s">
        <v>82</v>
      </c>
      <c r="E122" s="5" t="s">
        <v>94</v>
      </c>
      <c r="F122" s="5" t="s">
        <v>410</v>
      </c>
      <c r="G122" s="5">
        <v>82144.32</v>
      </c>
      <c r="H122" s="5" t="s">
        <v>26</v>
      </c>
      <c r="I122" s="5" t="s">
        <v>168</v>
      </c>
      <c r="J122" s="5" t="s">
        <v>142</v>
      </c>
      <c r="K122" s="5" t="s">
        <v>39</v>
      </c>
      <c r="L122" s="5"/>
      <c r="N122" s="2" t="str">
        <f t="shared" si="1"/>
        <v>Engineering</v>
      </c>
      <c r="O122" s="6">
        <f>IFERROR(__xludf.DUMMYFUNCTION("IFERROR(
  IF(LEN(TRIM(B122))=6,
    DATE(2000+VALUE(RIGHT(TRIM(B122),2)),MATCH(LEFT(TRIM(B122),3),{""Jan"",""Feb"",""Mar"",""Apr"",""May"",""Jun"",""Jul"",""Aug"",""Sep"",""Oct"",""Nov"",""Dec""},0),15),
  IF(REGEXMATCH(TRIM(B122),""^\d{2}[/-]\d{2}[/-]\d"&amp;"{4}$""),
    DATE(VALUE(RIGHT(TRIM(B122),4)),VALUE(MID(TRIM(B122),4,2)),VALUE(LEFT(TRIM(B122),2))),
  DATEVALUE(TRIM(B122)))),
""CHECK"")"),45624.0)</f>
        <v>45624</v>
      </c>
      <c r="R122" s="2" t="str">
        <f t="shared" si="2"/>
        <v>Nov</v>
      </c>
      <c r="S122" s="2" t="str">
        <f t="shared" si="3"/>
        <v>Q4</v>
      </c>
      <c r="T122" s="2">
        <f t="shared" si="4"/>
        <v>82144.32</v>
      </c>
    </row>
    <row r="123">
      <c r="A123" s="7" t="s">
        <v>411</v>
      </c>
      <c r="B123" s="7" t="s">
        <v>311</v>
      </c>
      <c r="C123" s="7" t="s">
        <v>22</v>
      </c>
      <c r="D123" s="7" t="s">
        <v>62</v>
      </c>
      <c r="E123" s="7" t="s">
        <v>111</v>
      </c>
      <c r="F123" s="7" t="s">
        <v>98</v>
      </c>
      <c r="G123" s="7">
        <v>7752.2</v>
      </c>
      <c r="H123" s="7" t="s">
        <v>26</v>
      </c>
      <c r="I123" s="7" t="s">
        <v>213</v>
      </c>
      <c r="J123" s="7" t="s">
        <v>49</v>
      </c>
      <c r="K123" s="7" t="s">
        <v>39</v>
      </c>
      <c r="L123" s="7"/>
      <c r="N123" s="2" t="str">
        <f t="shared" si="1"/>
        <v>Sales</v>
      </c>
      <c r="O123" s="6">
        <f>IFERROR(__xludf.DUMMYFUNCTION("IFERROR(
  IF(LEN(TRIM(B123))=6,
    DATE(2000+VALUE(RIGHT(TRIM(B123),2)),MATCH(LEFT(TRIM(B123),3),{""Jan"",""Feb"",""Mar"",""Apr"",""May"",""Jun"",""Jul"",""Aug"",""Sep"",""Oct"",""Nov"",""Dec""},0),15),
  IF(REGEXMATCH(TRIM(B123),""^\d{2}[/-]\d{2}[/-]\d"&amp;"{4}$""),
    DATE(VALUE(RIGHT(TRIM(B123),4)),VALUE(MID(TRIM(B123),4,2)),VALUE(LEFT(TRIM(B123),2))),
  DATEVALUE(TRIM(B123)))),
""CHECK"")"),45580.0)</f>
        <v>45580</v>
      </c>
      <c r="R123" s="2" t="str">
        <f t="shared" si="2"/>
        <v>Oct</v>
      </c>
      <c r="S123" s="2" t="str">
        <f t="shared" si="3"/>
        <v>Q4</v>
      </c>
      <c r="T123" s="2">
        <f t="shared" si="4"/>
        <v>7752.2</v>
      </c>
    </row>
    <row r="124">
      <c r="A124" s="5" t="s">
        <v>412</v>
      </c>
      <c r="B124" s="5" t="s">
        <v>413</v>
      </c>
      <c r="C124" s="5" t="s">
        <v>34</v>
      </c>
      <c r="D124" s="5" t="s">
        <v>111</v>
      </c>
      <c r="E124" s="5" t="s">
        <v>111</v>
      </c>
      <c r="F124" s="5" t="s">
        <v>343</v>
      </c>
      <c r="G124" s="5">
        <v>-22593.71</v>
      </c>
      <c r="H124" s="5" t="s">
        <v>26</v>
      </c>
      <c r="I124" s="5" t="s">
        <v>118</v>
      </c>
      <c r="J124" s="5" t="s">
        <v>87</v>
      </c>
      <c r="K124" s="5" t="s">
        <v>67</v>
      </c>
      <c r="L124" s="5"/>
      <c r="N124" s="2" t="str">
        <f t="shared" si="1"/>
        <v>Sales</v>
      </c>
      <c r="O124" s="6">
        <f>IFERROR(__xludf.DUMMYFUNCTION("IFERROR(
  IF(LEN(TRIM(B124))=6,
    DATE(2000+VALUE(RIGHT(TRIM(B124),2)),MATCH(LEFT(TRIM(B124),3),{""Jan"",""Feb"",""Mar"",""Apr"",""May"",""Jun"",""Jul"",""Aug"",""Sep"",""Oct"",""Nov"",""Dec""},0),15),
  IF(REGEXMATCH(TRIM(B124),""^\d{2}[/-]\d{2}[/-]\d"&amp;"{4}$""),
    DATE(VALUE(RIGHT(TRIM(B124),4)),VALUE(MID(TRIM(B124),4,2)),VALUE(LEFT(TRIM(B124),2))),
  DATEVALUE(TRIM(B124)))),
""CHECK"")"),45413.0)</f>
        <v>45413</v>
      </c>
      <c r="R124" s="2" t="str">
        <f t="shared" si="2"/>
        <v>May</v>
      </c>
      <c r="S124" s="2" t="str">
        <f t="shared" si="3"/>
        <v>Q2</v>
      </c>
      <c r="T124" s="2">
        <f t="shared" si="4"/>
        <v>-22593.71</v>
      </c>
    </row>
    <row r="125">
      <c r="A125" s="7" t="s">
        <v>414</v>
      </c>
      <c r="B125" s="7" t="s">
        <v>415</v>
      </c>
      <c r="C125" s="7" t="s">
        <v>22</v>
      </c>
      <c r="D125" s="7" t="s">
        <v>62</v>
      </c>
      <c r="E125" s="7" t="s">
        <v>97</v>
      </c>
      <c r="F125" s="7" t="s">
        <v>264</v>
      </c>
      <c r="G125" s="7">
        <v>11975.67</v>
      </c>
      <c r="H125" s="7" t="s">
        <v>26</v>
      </c>
      <c r="I125" s="7" t="s">
        <v>65</v>
      </c>
      <c r="J125" s="7" t="s">
        <v>126</v>
      </c>
      <c r="K125" s="7" t="s">
        <v>29</v>
      </c>
      <c r="L125" s="7"/>
      <c r="N125" s="2" t="str">
        <f t="shared" si="1"/>
        <v>Sales</v>
      </c>
      <c r="O125" s="6">
        <f>IFERROR(__xludf.DUMMYFUNCTION("IFERROR(
  IF(LEN(TRIM(B125))=6,
    DATE(2000+VALUE(RIGHT(TRIM(B125),2)),MATCH(LEFT(TRIM(B125),3),{""Jan"",""Feb"",""Mar"",""Apr"",""May"",""Jun"",""Jul"",""Aug"",""Sep"",""Oct"",""Nov"",""Dec""},0),15),
  IF(REGEXMATCH(TRIM(B125),""^\d{2}[/-]\d{2}[/-]\d"&amp;"{4}$""),
    DATE(VALUE(RIGHT(TRIM(B125),4)),VALUE(MID(TRIM(B125),4,2)),VALUE(LEFT(TRIM(B125),2))),
  DATEVALUE(TRIM(B125)))),
""CHECK"")"),45344.0)</f>
        <v>45344</v>
      </c>
      <c r="R125" s="2" t="str">
        <f t="shared" si="2"/>
        <v>Feb</v>
      </c>
      <c r="S125" s="2" t="str">
        <f t="shared" si="3"/>
        <v>Q1</v>
      </c>
      <c r="T125" s="2">
        <f t="shared" si="4"/>
        <v>11975.67</v>
      </c>
    </row>
    <row r="126">
      <c r="A126" s="5" t="s">
        <v>416</v>
      </c>
      <c r="B126" s="5" t="s">
        <v>417</v>
      </c>
      <c r="C126" s="5" t="s">
        <v>34</v>
      </c>
      <c r="D126" s="5" t="s">
        <v>82</v>
      </c>
      <c r="E126" s="5" t="s">
        <v>418</v>
      </c>
      <c r="F126" s="5" t="s">
        <v>346</v>
      </c>
      <c r="G126" s="5">
        <v>53758.28</v>
      </c>
      <c r="H126" s="5" t="s">
        <v>26</v>
      </c>
      <c r="I126" s="5" t="s">
        <v>237</v>
      </c>
      <c r="J126" s="5" t="s">
        <v>108</v>
      </c>
      <c r="K126" s="5" t="s">
        <v>59</v>
      </c>
      <c r="L126" s="5"/>
      <c r="N126" s="2" t="str">
        <f t="shared" si="1"/>
        <v>Engineering</v>
      </c>
      <c r="O126" s="6">
        <f>IFERROR(__xludf.DUMMYFUNCTION("IFERROR(
  IF(LEN(TRIM(B126))=6,
    DATE(2000+VALUE(RIGHT(TRIM(B126),2)),MATCH(LEFT(TRIM(B126),3),{""Jan"",""Feb"",""Mar"",""Apr"",""May"",""Jun"",""Jul"",""Aug"",""Sep"",""Oct"",""Nov"",""Dec""},0),15),
  IF(REGEXMATCH(TRIM(B126),""^\d{2}[/-]\d{2}[/-]\d"&amp;"{4}$""),
    DATE(VALUE(RIGHT(TRIM(B126),4)),VALUE(MID(TRIM(B126),4,2)),VALUE(LEFT(TRIM(B126),2))),
  DATEVALUE(TRIM(B126)))),
""CHECK"")"),45451.0)</f>
        <v>45451</v>
      </c>
      <c r="R126" s="2" t="str">
        <f t="shared" si="2"/>
        <v>Jun</v>
      </c>
      <c r="S126" s="2" t="str">
        <f t="shared" si="3"/>
        <v>Q2</v>
      </c>
      <c r="T126" s="2">
        <f t="shared" si="4"/>
        <v>53758.28</v>
      </c>
    </row>
    <row r="127">
      <c r="A127" s="7" t="s">
        <v>419</v>
      </c>
      <c r="B127" s="7" t="s">
        <v>420</v>
      </c>
      <c r="C127" s="7" t="s">
        <v>22</v>
      </c>
      <c r="D127" s="7" t="s">
        <v>23</v>
      </c>
      <c r="E127" s="7" t="s">
        <v>97</v>
      </c>
      <c r="F127" s="7" t="s">
        <v>275</v>
      </c>
      <c r="G127" s="7">
        <v>146162.64</v>
      </c>
      <c r="H127" s="7" t="s">
        <v>26</v>
      </c>
      <c r="I127" s="7" t="s">
        <v>137</v>
      </c>
      <c r="J127" s="7" t="s">
        <v>44</v>
      </c>
      <c r="K127" s="7" t="s">
        <v>29</v>
      </c>
      <c r="L127" s="7"/>
      <c r="N127" s="2" t="str">
        <f t="shared" si="1"/>
        <v>Sales</v>
      </c>
      <c r="O127" s="6">
        <f>IFERROR(__xludf.DUMMYFUNCTION("IFERROR(
  IF(LEN(TRIM(B127))=6,
    DATE(2000+VALUE(RIGHT(TRIM(B127),2)),MATCH(LEFT(TRIM(B127),3),{""Jan"",""Feb"",""Mar"",""Apr"",""May"",""Jun"",""Jul"",""Aug"",""Sep"",""Oct"",""Nov"",""Dec""},0),15),
  IF(REGEXMATCH(TRIM(B127),""^\d{2}[/-]\d{2}[/-]\d"&amp;"{4}$""),
    DATE(VALUE(RIGHT(TRIM(B127),4)),VALUE(MID(TRIM(B127),4,2)),VALUE(LEFT(TRIM(B127),2))),
  DATEVALUE(TRIM(B127)))),
""CHECK"")"),45366.0)</f>
        <v>45366</v>
      </c>
      <c r="R127" s="2" t="str">
        <f t="shared" si="2"/>
        <v>Mar</v>
      </c>
      <c r="S127" s="2" t="str">
        <f t="shared" si="3"/>
        <v>Q1</v>
      </c>
      <c r="T127" s="2">
        <f t="shared" si="4"/>
        <v>146162.64</v>
      </c>
    </row>
    <row r="128">
      <c r="A128" s="5" t="s">
        <v>421</v>
      </c>
      <c r="B128" s="5" t="s">
        <v>132</v>
      </c>
      <c r="C128" s="5" t="s">
        <v>34</v>
      </c>
      <c r="D128" s="5" t="s">
        <v>51</v>
      </c>
      <c r="E128" s="5" t="s">
        <v>51</v>
      </c>
      <c r="F128" s="5" t="s">
        <v>397</v>
      </c>
      <c r="G128" s="5">
        <v>8788.04</v>
      </c>
      <c r="H128" s="5" t="s">
        <v>26</v>
      </c>
      <c r="I128" s="5" t="s">
        <v>168</v>
      </c>
      <c r="J128" s="5"/>
      <c r="K128" s="5"/>
      <c r="L128" s="5"/>
      <c r="N128" s="2" t="str">
        <f t="shared" si="1"/>
        <v>Customer Success</v>
      </c>
      <c r="O128" s="6">
        <f>IFERROR(__xludf.DUMMYFUNCTION("IFERROR(
  IF(LEN(TRIM(B128))=6,
    DATE(2000+VALUE(RIGHT(TRIM(B128),2)),MATCH(LEFT(TRIM(B128),3),{""Jan"",""Feb"",""Mar"",""Apr"",""May"",""Jun"",""Jul"",""Aug"",""Sep"",""Oct"",""Nov"",""Dec""},0),15),
  IF(REGEXMATCH(TRIM(B128),""^\d{2}[/-]\d{2}[/-]\d"&amp;"{4}$""),
    DATE(VALUE(RIGHT(TRIM(B128),4)),VALUE(MID(TRIM(B128),4,2)),VALUE(LEFT(TRIM(B128),2))),
  DATEVALUE(TRIM(B128)))),
""CHECK"")"),45499.0)</f>
        <v>45499</v>
      </c>
      <c r="R128" s="2" t="str">
        <f t="shared" si="2"/>
        <v>Jul</v>
      </c>
      <c r="S128" s="2" t="str">
        <f t="shared" si="3"/>
        <v>Q3</v>
      </c>
      <c r="T128" s="2">
        <f t="shared" si="4"/>
        <v>8788.04</v>
      </c>
    </row>
    <row r="129">
      <c r="A129" s="7" t="s">
        <v>422</v>
      </c>
      <c r="B129" s="7" t="s">
        <v>423</v>
      </c>
      <c r="C129" s="7" t="s">
        <v>34</v>
      </c>
      <c r="D129" s="7" t="s">
        <v>31</v>
      </c>
      <c r="E129" s="7" t="s">
        <v>145</v>
      </c>
      <c r="F129" s="7" t="s">
        <v>36</v>
      </c>
      <c r="G129" s="7">
        <v>18499.02</v>
      </c>
      <c r="H129" s="7" t="s">
        <v>79</v>
      </c>
      <c r="I129" s="7" t="s">
        <v>37</v>
      </c>
      <c r="J129" s="7" t="s">
        <v>108</v>
      </c>
      <c r="K129" s="7" t="s">
        <v>59</v>
      </c>
      <c r="L129" s="7"/>
      <c r="N129" s="2" t="str">
        <f t="shared" si="1"/>
        <v>Cloud Infrastructure</v>
      </c>
      <c r="O129" s="6">
        <f>IFERROR(__xludf.DUMMYFUNCTION("IFERROR(
  IF(LEN(TRIM(B129))=6,
    DATE(2000+VALUE(RIGHT(TRIM(B129),2)),MATCH(LEFT(TRIM(B129),3),{""Jan"",""Feb"",""Mar"",""Apr"",""May"",""Jun"",""Jul"",""Aug"",""Sep"",""Oct"",""Nov"",""Dec""},0),15),
  IF(REGEXMATCH(TRIM(B129),""^\d{2}[/-]\d{2}[/-]\d"&amp;"{4}$""),
    DATE(VALUE(RIGHT(TRIM(B129),4)),VALUE(MID(TRIM(B129),4,2)),VALUE(LEFT(TRIM(B129),2))),
  DATEVALUE(TRIM(B129)))),
""CHECK"")"),45520.0)</f>
        <v>45520</v>
      </c>
      <c r="R129" s="2" t="str">
        <f t="shared" si="2"/>
        <v>Aug</v>
      </c>
      <c r="S129" s="2" t="str">
        <f t="shared" si="3"/>
        <v>Q3</v>
      </c>
      <c r="T129" s="2">
        <f t="shared" si="4"/>
        <v>23493.7554</v>
      </c>
    </row>
    <row r="130">
      <c r="A130" s="5" t="s">
        <v>424</v>
      </c>
      <c r="B130" s="5" t="s">
        <v>425</v>
      </c>
      <c r="C130" s="5" t="s">
        <v>34</v>
      </c>
      <c r="D130" s="5" t="s">
        <v>51</v>
      </c>
      <c r="E130" s="5" t="s">
        <v>68</v>
      </c>
      <c r="F130" s="5" t="s">
        <v>426</v>
      </c>
      <c r="G130" s="5">
        <v>20443.93</v>
      </c>
      <c r="H130" s="5" t="s">
        <v>26</v>
      </c>
      <c r="I130" s="5" t="s">
        <v>141</v>
      </c>
      <c r="J130" s="5" t="s">
        <v>38</v>
      </c>
      <c r="K130" s="5" t="s">
        <v>39</v>
      </c>
      <c r="L130" s="5"/>
      <c r="N130" s="2" t="str">
        <f t="shared" si="1"/>
        <v>Customer Success</v>
      </c>
      <c r="O130" s="6">
        <f>IFERROR(__xludf.DUMMYFUNCTION("IFERROR(
  IF(LEN(TRIM(B130))=6,
    DATE(2000+VALUE(RIGHT(TRIM(B130),2)),MATCH(LEFT(TRIM(B130),3),{""Jan"",""Feb"",""Mar"",""Apr"",""May"",""Jun"",""Jul"",""Aug"",""Sep"",""Oct"",""Nov"",""Dec""},0),15),
  IF(REGEXMATCH(TRIM(B130),""^\d{2}[/-]\d{2}[/-]\d"&amp;"{4}$""),
    DATE(VALUE(RIGHT(TRIM(B130),4)),VALUE(MID(TRIM(B130),4,2)),VALUE(LEFT(TRIM(B130),2))),
  DATEVALUE(TRIM(B130)))),
""CHECK"")"),45759.0)</f>
        <v>45759</v>
      </c>
      <c r="R130" s="2" t="str">
        <f t="shared" si="2"/>
        <v>Apr</v>
      </c>
      <c r="S130" s="2" t="str">
        <f t="shared" si="3"/>
        <v>Q2</v>
      </c>
      <c r="T130" s="2">
        <f t="shared" si="4"/>
        <v>20443.93</v>
      </c>
    </row>
    <row r="131">
      <c r="A131" s="7" t="s">
        <v>427</v>
      </c>
      <c r="B131" s="7" t="s">
        <v>428</v>
      </c>
      <c r="C131" s="7" t="s">
        <v>22</v>
      </c>
      <c r="D131" s="7" t="s">
        <v>23</v>
      </c>
      <c r="E131" s="7" t="s">
        <v>97</v>
      </c>
      <c r="F131" s="7" t="s">
        <v>429</v>
      </c>
      <c r="G131" s="7">
        <v>108984.86</v>
      </c>
      <c r="H131" s="7" t="s">
        <v>26</v>
      </c>
      <c r="I131" s="7" t="s">
        <v>27</v>
      </c>
      <c r="J131" s="7" t="s">
        <v>66</v>
      </c>
      <c r="K131" s="7" t="s">
        <v>67</v>
      </c>
      <c r="L131" s="7"/>
      <c r="N131" s="2" t="str">
        <f t="shared" si="1"/>
        <v>Sales</v>
      </c>
      <c r="O131" s="6">
        <f>IFERROR(__xludf.DUMMYFUNCTION("IFERROR(
  IF(LEN(TRIM(B131))=6,
    DATE(2000+VALUE(RIGHT(TRIM(B131),2)),MATCH(LEFT(TRIM(B131),3),{""Jan"",""Feb"",""Mar"",""Apr"",""May"",""Jun"",""Jul"",""Aug"",""Sep"",""Oct"",""Nov"",""Dec""},0),15),
  IF(REGEXMATCH(TRIM(B131),""^\d{2}[/-]\d{2}[/-]\d"&amp;"{4}$""),
    DATE(VALUE(RIGHT(TRIM(B131),4)),VALUE(MID(TRIM(B131),4,2)),VALUE(LEFT(TRIM(B131),2))),
  DATEVALUE(TRIM(B131)))),
""CHECK"")"),45410.0)</f>
        <v>45410</v>
      </c>
      <c r="R131" s="2" t="str">
        <f t="shared" si="2"/>
        <v>Apr</v>
      </c>
      <c r="S131" s="2" t="str">
        <f t="shared" si="3"/>
        <v>Q2</v>
      </c>
      <c r="T131" s="2">
        <f t="shared" si="4"/>
        <v>108984.86</v>
      </c>
    </row>
    <row r="132">
      <c r="A132" s="5" t="s">
        <v>430</v>
      </c>
      <c r="B132" s="5" t="s">
        <v>431</v>
      </c>
      <c r="C132" s="5" t="s">
        <v>34</v>
      </c>
      <c r="D132" s="5" t="s">
        <v>54</v>
      </c>
      <c r="E132" s="5" t="s">
        <v>54</v>
      </c>
      <c r="F132" s="5" t="s">
        <v>432</v>
      </c>
      <c r="G132" s="5">
        <v>32649.83</v>
      </c>
      <c r="H132" s="5" t="s">
        <v>26</v>
      </c>
      <c r="I132" s="5" t="s">
        <v>57</v>
      </c>
      <c r="J132" s="5" t="s">
        <v>49</v>
      </c>
      <c r="K132" s="5" t="s">
        <v>39</v>
      </c>
      <c r="L132" s="5"/>
      <c r="N132" s="2" t="str">
        <f t="shared" si="1"/>
        <v>Marketing</v>
      </c>
      <c r="O132" s="6">
        <f>IFERROR(__xludf.DUMMYFUNCTION("IFERROR(
  IF(LEN(TRIM(B132))=6,
    DATE(2000+VALUE(RIGHT(TRIM(B132),2)),MATCH(LEFT(TRIM(B132),3),{""Jan"",""Feb"",""Mar"",""Apr"",""May"",""Jun"",""Jul"",""Aug"",""Sep"",""Oct"",""Nov"",""Dec""},0),15),
  IF(REGEXMATCH(TRIM(B132),""^\d{2}[/-]\d{2}[/-]\d"&amp;"{4}$""),
    DATE(VALUE(RIGHT(TRIM(B132),4)),VALUE(MID(TRIM(B132),4,2)),VALUE(LEFT(TRIM(B132),2))),
  DATEVALUE(TRIM(B132)))),
""CHECK"")"),45591.0)</f>
        <v>45591</v>
      </c>
      <c r="R132" s="2" t="str">
        <f t="shared" si="2"/>
        <v>Oct</v>
      </c>
      <c r="S132" s="2" t="str">
        <f t="shared" si="3"/>
        <v>Q4</v>
      </c>
      <c r="T132" s="2">
        <f t="shared" si="4"/>
        <v>32649.83</v>
      </c>
    </row>
    <row r="133">
      <c r="A133" s="7" t="s">
        <v>433</v>
      </c>
      <c r="B133" s="7" t="s">
        <v>389</v>
      </c>
      <c r="C133" s="7" t="s">
        <v>34</v>
      </c>
      <c r="D133" s="7" t="s">
        <v>31</v>
      </c>
      <c r="E133" s="7" t="s">
        <v>145</v>
      </c>
      <c r="F133" s="7" t="s">
        <v>293</v>
      </c>
      <c r="G133" s="7">
        <v>23296.77</v>
      </c>
      <c r="H133" s="7" t="s">
        <v>26</v>
      </c>
      <c r="I133" s="7" t="s">
        <v>206</v>
      </c>
      <c r="J133" s="7" t="s">
        <v>126</v>
      </c>
      <c r="K133" s="7" t="s">
        <v>29</v>
      </c>
      <c r="L133" s="7"/>
      <c r="N133" s="2" t="str">
        <f t="shared" si="1"/>
        <v>Cloud Infrastructure</v>
      </c>
      <c r="O133" s="6">
        <f>IFERROR(__xludf.DUMMYFUNCTION("IFERROR(
  IF(LEN(TRIM(B133))=6,
    DATE(2000+VALUE(RIGHT(TRIM(B133),2)),MATCH(LEFT(TRIM(B133),3),{""Jan"",""Feb"",""Mar"",""Apr"",""May"",""Jun"",""Jul"",""Aug"",""Sep"",""Oct"",""Nov"",""Dec""},0),15),
  IF(REGEXMATCH(TRIM(B133),""^\d{2}[/-]\d{2}[/-]\d"&amp;"{4}$""),
    DATE(VALUE(RIGHT(TRIM(B133),4)),VALUE(MID(TRIM(B133),4,2)),VALUE(LEFT(TRIM(B133),2))),
  DATEVALUE(TRIM(B133)))),
""CHECK"")"),45348.0)</f>
        <v>45348</v>
      </c>
      <c r="R133" s="2" t="str">
        <f t="shared" si="2"/>
        <v>Feb</v>
      </c>
      <c r="S133" s="2" t="str">
        <f t="shared" si="3"/>
        <v>Q1</v>
      </c>
      <c r="T133" s="2">
        <f t="shared" si="4"/>
        <v>23296.77</v>
      </c>
    </row>
    <row r="134">
      <c r="A134" s="5" t="s">
        <v>434</v>
      </c>
      <c r="B134" s="5" t="s">
        <v>435</v>
      </c>
      <c r="C134" s="5" t="s">
        <v>34</v>
      </c>
      <c r="D134" s="5" t="s">
        <v>90</v>
      </c>
      <c r="E134" s="5" t="s">
        <v>114</v>
      </c>
      <c r="F134" s="5" t="s">
        <v>436</v>
      </c>
      <c r="G134" s="5">
        <v>9573.22</v>
      </c>
      <c r="H134" s="5" t="s">
        <v>26</v>
      </c>
      <c r="I134" s="5" t="s">
        <v>237</v>
      </c>
      <c r="J134" s="5" t="s">
        <v>108</v>
      </c>
      <c r="K134" s="5" t="s">
        <v>59</v>
      </c>
      <c r="L134" s="5"/>
      <c r="N134" s="2" t="str">
        <f t="shared" si="1"/>
        <v>G&amp;A</v>
      </c>
      <c r="O134" s="6">
        <f>IFERROR(__xludf.DUMMYFUNCTION("IFERROR(
  IF(LEN(TRIM(B134))=6,
    DATE(2000+VALUE(RIGHT(TRIM(B134),2)),MATCH(LEFT(TRIM(B134),3),{""Jan"",""Feb"",""Mar"",""Apr"",""May"",""Jun"",""Jul"",""Aug"",""Sep"",""Oct"",""Nov"",""Dec""},0),15),
  IF(REGEXMATCH(TRIM(B134),""^\d{2}[/-]\d{2}[/-]\d"&amp;"{4}$""),
    DATE(VALUE(RIGHT(TRIM(B134),4)),VALUE(MID(TRIM(B134),4,2)),VALUE(LEFT(TRIM(B134),2))),
  DATEVALUE(TRIM(B134)))),
""CHECK"")"),45531.0)</f>
        <v>45531</v>
      </c>
      <c r="R134" s="2" t="str">
        <f t="shared" si="2"/>
        <v>Aug</v>
      </c>
      <c r="S134" s="2" t="str">
        <f t="shared" si="3"/>
        <v>Q3</v>
      </c>
      <c r="T134" s="2">
        <f t="shared" si="4"/>
        <v>9573.22</v>
      </c>
    </row>
    <row r="135">
      <c r="A135" s="7" t="s">
        <v>437</v>
      </c>
      <c r="B135" s="7" t="s">
        <v>438</v>
      </c>
      <c r="C135" s="7" t="s">
        <v>34</v>
      </c>
      <c r="D135" s="7" t="s">
        <v>111</v>
      </c>
      <c r="E135" s="7" t="s">
        <v>63</v>
      </c>
      <c r="F135" s="7" t="s">
        <v>256</v>
      </c>
      <c r="G135" s="7">
        <v>16529.11</v>
      </c>
      <c r="H135" s="7" t="s">
        <v>26</v>
      </c>
      <c r="I135" s="7" t="s">
        <v>231</v>
      </c>
      <c r="J135" s="7" t="s">
        <v>108</v>
      </c>
      <c r="K135" s="7" t="s">
        <v>59</v>
      </c>
      <c r="L135" s="7"/>
      <c r="N135" s="2" t="str">
        <f t="shared" si="1"/>
        <v>Sales</v>
      </c>
      <c r="O135" s="6">
        <f>IFERROR(__xludf.DUMMYFUNCTION("IFERROR(
  IF(LEN(TRIM(B135))=6,
    DATE(2000+VALUE(RIGHT(TRIM(B135),2)),MATCH(LEFT(TRIM(B135),3),{""Jan"",""Feb"",""Mar"",""Apr"",""May"",""Jun"",""Jul"",""Aug"",""Sep"",""Oct"",""Nov"",""Dec""},0),15),
  IF(REGEXMATCH(TRIM(B135),""^\d{2}[/-]\d{2}[/-]\d"&amp;"{4}$""),
    DATE(VALUE(RIGHT(TRIM(B135),4)),VALUE(MID(TRIM(B135),4,2)),VALUE(LEFT(TRIM(B135),2))),
  DATEVALUE(TRIM(B135)))),
""CHECK"")"),45524.0)</f>
        <v>45524</v>
      </c>
      <c r="R135" s="2" t="str">
        <f t="shared" si="2"/>
        <v>Aug</v>
      </c>
      <c r="S135" s="2" t="str">
        <f t="shared" si="3"/>
        <v>Q3</v>
      </c>
      <c r="T135" s="2">
        <f t="shared" si="4"/>
        <v>16529.11</v>
      </c>
    </row>
    <row r="136">
      <c r="A136" s="5" t="s">
        <v>439</v>
      </c>
      <c r="B136" s="5" t="s">
        <v>440</v>
      </c>
      <c r="C136" s="5" t="s">
        <v>34</v>
      </c>
      <c r="D136" s="5" t="s">
        <v>54</v>
      </c>
      <c r="E136" s="5" t="s">
        <v>55</v>
      </c>
      <c r="F136" s="5" t="s">
        <v>441</v>
      </c>
      <c r="G136" s="5">
        <v>40701.75</v>
      </c>
      <c r="H136" s="5" t="s">
        <v>26</v>
      </c>
      <c r="I136" s="5" t="s">
        <v>48</v>
      </c>
      <c r="J136" s="5" t="s">
        <v>142</v>
      </c>
      <c r="K136" s="5" t="s">
        <v>39</v>
      </c>
      <c r="L136" s="5"/>
      <c r="N136" s="2" t="str">
        <f t="shared" si="1"/>
        <v>Marketing</v>
      </c>
      <c r="O136" s="6">
        <f>IFERROR(__xludf.DUMMYFUNCTION("IFERROR(
  IF(LEN(TRIM(B136))=6,
    DATE(2000+VALUE(RIGHT(TRIM(B136),2)),MATCH(LEFT(TRIM(B136),3),{""Jan"",""Feb"",""Mar"",""Apr"",""May"",""Jun"",""Jul"",""Aug"",""Sep"",""Oct"",""Nov"",""Dec""},0),15),
  IF(REGEXMATCH(TRIM(B136),""^\d{2}[/-]\d{2}[/-]\d"&amp;"{4}$""),
    DATE(VALUE(RIGHT(TRIM(B136),4)),VALUE(MID(TRIM(B136),4,2)),VALUE(LEFT(TRIM(B136),2))),
  DATEVALUE(TRIM(B136)))),
""CHECK"")"),45602.0)</f>
        <v>45602</v>
      </c>
      <c r="R136" s="2" t="str">
        <f t="shared" si="2"/>
        <v>Nov</v>
      </c>
      <c r="S136" s="2" t="str">
        <f t="shared" si="3"/>
        <v>Q4</v>
      </c>
      <c r="T136" s="2">
        <f t="shared" si="4"/>
        <v>40701.75</v>
      </c>
    </row>
    <row r="137">
      <c r="A137" s="7" t="s">
        <v>442</v>
      </c>
      <c r="B137" s="7" t="s">
        <v>443</v>
      </c>
      <c r="C137" s="7" t="s">
        <v>34</v>
      </c>
      <c r="D137" s="7" t="s">
        <v>31</v>
      </c>
      <c r="E137" s="7" t="s">
        <v>145</v>
      </c>
      <c r="F137" s="7" t="s">
        <v>444</v>
      </c>
      <c r="G137" s="7">
        <v>27758.72</v>
      </c>
      <c r="H137" s="7" t="s">
        <v>26</v>
      </c>
      <c r="I137" s="7" t="s">
        <v>103</v>
      </c>
      <c r="J137" s="7" t="s">
        <v>126</v>
      </c>
      <c r="K137" s="7" t="s">
        <v>29</v>
      </c>
      <c r="L137" s="7"/>
      <c r="N137" s="2" t="str">
        <f t="shared" si="1"/>
        <v>Cloud Infrastructure</v>
      </c>
      <c r="O137" s="6">
        <f>IFERROR(__xludf.DUMMYFUNCTION("IFERROR(
  IF(LEN(TRIM(B137))=6,
    DATE(2000+VALUE(RIGHT(TRIM(B137),2)),MATCH(LEFT(TRIM(B137),3),{""Jan"",""Feb"",""Mar"",""Apr"",""May"",""Jun"",""Jul"",""Aug"",""Sep"",""Oct"",""Nov"",""Dec""},0),15),
  IF(REGEXMATCH(TRIM(B137),""^\d{2}[/-]\d{2}[/-]\d"&amp;"{4}$""),
    DATE(VALUE(RIGHT(TRIM(B137),4)),VALUE(MID(TRIM(B137),4,2)),VALUE(LEFT(TRIM(B137),2))),
  DATEVALUE(TRIM(B137)))),
""CHECK"")"),45337.0)</f>
        <v>45337</v>
      </c>
      <c r="R137" s="2" t="str">
        <f t="shared" si="2"/>
        <v>Feb</v>
      </c>
      <c r="S137" s="2" t="str">
        <f t="shared" si="3"/>
        <v>Q1</v>
      </c>
      <c r="T137" s="2">
        <f t="shared" si="4"/>
        <v>27758.72</v>
      </c>
    </row>
    <row r="138">
      <c r="A138" s="5" t="s">
        <v>445</v>
      </c>
      <c r="B138" s="5" t="s">
        <v>106</v>
      </c>
      <c r="C138" s="5" t="s">
        <v>34</v>
      </c>
      <c r="D138" s="5" t="s">
        <v>111</v>
      </c>
      <c r="E138" s="5" t="s">
        <v>63</v>
      </c>
      <c r="F138" s="5" t="s">
        <v>446</v>
      </c>
      <c r="G138" s="5">
        <v>28424.39</v>
      </c>
      <c r="H138" s="5" t="s">
        <v>26</v>
      </c>
      <c r="I138" s="5" t="s">
        <v>168</v>
      </c>
      <c r="J138" s="5" t="s">
        <v>108</v>
      </c>
      <c r="K138" s="5" t="s">
        <v>59</v>
      </c>
      <c r="L138" s="5"/>
      <c r="N138" s="2" t="str">
        <f t="shared" si="1"/>
        <v>Sales</v>
      </c>
      <c r="O138" s="6">
        <f>IFERROR(__xludf.DUMMYFUNCTION("IFERROR(
  IF(LEN(TRIM(B138))=6,
    DATE(2000+VALUE(RIGHT(TRIM(B138),2)),MATCH(LEFT(TRIM(B138),3),{""Jan"",""Feb"",""Mar"",""Apr"",""May"",""Jun"",""Jul"",""Aug"",""Sep"",""Oct"",""Nov"",""Dec""},0),15),
  IF(REGEXMATCH(TRIM(B138),""^\d{2}[/-]\d{2}[/-]\d"&amp;"{4}$""),
    DATE(VALUE(RIGHT(TRIM(B138),4)),VALUE(MID(TRIM(B138),4,2)),VALUE(LEFT(TRIM(B138),2))),
  DATEVALUE(TRIM(B138)))),
""CHECK"")"),45519.0)</f>
        <v>45519</v>
      </c>
      <c r="R138" s="2" t="str">
        <f t="shared" si="2"/>
        <v>Aug</v>
      </c>
      <c r="S138" s="2" t="str">
        <f t="shared" si="3"/>
        <v>Q3</v>
      </c>
      <c r="T138" s="2">
        <f t="shared" si="4"/>
        <v>28424.39</v>
      </c>
    </row>
    <row r="139">
      <c r="A139" s="7" t="s">
        <v>447</v>
      </c>
      <c r="B139" s="7" t="s">
        <v>239</v>
      </c>
      <c r="C139" s="7" t="s">
        <v>34</v>
      </c>
      <c r="D139" s="7" t="s">
        <v>111</v>
      </c>
      <c r="E139" s="7" t="s">
        <v>24</v>
      </c>
      <c r="F139" s="7" t="s">
        <v>448</v>
      </c>
      <c r="G139" s="7">
        <v>-3754.08</v>
      </c>
      <c r="H139" s="7" t="s">
        <v>26</v>
      </c>
      <c r="I139" s="7" t="s">
        <v>394</v>
      </c>
      <c r="J139" s="7" t="s">
        <v>38</v>
      </c>
      <c r="K139" s="7" t="s">
        <v>39</v>
      </c>
      <c r="L139" s="7"/>
      <c r="N139" s="2" t="str">
        <f t="shared" si="1"/>
        <v>Sales</v>
      </c>
      <c r="O139" s="6">
        <f>IFERROR(__xludf.DUMMYFUNCTION("IFERROR(
  IF(LEN(TRIM(B139))=6,
    DATE(2000+VALUE(RIGHT(TRIM(B139),2)),MATCH(LEFT(TRIM(B139),3),{""Jan"",""Feb"",""Mar"",""Apr"",""May"",""Jun"",""Jul"",""Aug"",""Sep"",""Oct"",""Nov"",""Dec""},0),15),
  IF(REGEXMATCH(TRIM(B139),""^\d{2}[/-]\d{2}[/-]\d"&amp;"{4}$""),
    DATE(VALUE(RIGHT(TRIM(B139),4)),VALUE(MID(TRIM(B139),4,2)),VALUE(LEFT(TRIM(B139),2))),
  DATEVALUE(TRIM(B139)))),
""CHECK"")"),45641.0)</f>
        <v>45641</v>
      </c>
      <c r="R139" s="2" t="str">
        <f t="shared" si="2"/>
        <v>Dec</v>
      </c>
      <c r="S139" s="2" t="str">
        <f t="shared" si="3"/>
        <v>Q4</v>
      </c>
      <c r="T139" s="2">
        <f t="shared" si="4"/>
        <v>-3754.08</v>
      </c>
    </row>
    <row r="140">
      <c r="A140" s="5" t="s">
        <v>449</v>
      </c>
      <c r="B140" s="5" t="s">
        <v>450</v>
      </c>
      <c r="C140" s="5" t="s">
        <v>34</v>
      </c>
      <c r="D140" s="5" t="s">
        <v>90</v>
      </c>
      <c r="E140" s="5" t="s">
        <v>104</v>
      </c>
      <c r="F140" s="5" t="s">
        <v>365</v>
      </c>
      <c r="G140" s="5">
        <v>8037.67</v>
      </c>
      <c r="H140" s="5" t="s">
        <v>26</v>
      </c>
      <c r="I140" s="5" t="s">
        <v>57</v>
      </c>
      <c r="J140" s="5" t="s">
        <v>49</v>
      </c>
      <c r="K140" s="5" t="s">
        <v>39</v>
      </c>
      <c r="L140" s="5"/>
      <c r="N140" s="2" t="str">
        <f t="shared" si="1"/>
        <v>G&amp;A</v>
      </c>
      <c r="O140" s="6">
        <f>IFERROR(__xludf.DUMMYFUNCTION("IFERROR(
  IF(LEN(TRIM(B140))=6,
    DATE(2000+VALUE(RIGHT(TRIM(B140),2)),MATCH(LEFT(TRIM(B140),3),{""Jan"",""Feb"",""Mar"",""Apr"",""May"",""Jun"",""Jul"",""Aug"",""Sep"",""Oct"",""Nov"",""Dec""},0),15),
  IF(REGEXMATCH(TRIM(B140),""^\d{2}[/-]\d{2}[/-]\d"&amp;"{4}$""),
    DATE(VALUE(RIGHT(TRIM(B140),4)),VALUE(MID(TRIM(B140),4,2)),VALUE(LEFT(TRIM(B140),2))),
  DATEVALUE(TRIM(B140)))),
""CHECK"")"),45585.0)</f>
        <v>45585</v>
      </c>
      <c r="R140" s="2" t="str">
        <f t="shared" si="2"/>
        <v>Oct</v>
      </c>
      <c r="S140" s="2" t="str">
        <f t="shared" si="3"/>
        <v>Q4</v>
      </c>
      <c r="T140" s="2">
        <f t="shared" si="4"/>
        <v>8037.67</v>
      </c>
    </row>
    <row r="141">
      <c r="A141" s="7" t="s">
        <v>451</v>
      </c>
      <c r="B141" s="7" t="s">
        <v>452</v>
      </c>
      <c r="C141" s="7" t="s">
        <v>34</v>
      </c>
      <c r="D141" s="7" t="s">
        <v>54</v>
      </c>
      <c r="E141" s="7" t="s">
        <v>55</v>
      </c>
      <c r="F141" s="7" t="s">
        <v>453</v>
      </c>
      <c r="G141" s="7">
        <v>60051.84</v>
      </c>
      <c r="H141" s="7" t="s">
        <v>26</v>
      </c>
      <c r="I141" s="7" t="s">
        <v>57</v>
      </c>
      <c r="J141" s="7" t="s">
        <v>58</v>
      </c>
      <c r="K141" s="7" t="s">
        <v>59</v>
      </c>
      <c r="L141" s="7"/>
      <c r="N141" s="2" t="str">
        <f t="shared" si="1"/>
        <v>Marketing</v>
      </c>
      <c r="O141" s="6">
        <f>IFERROR(__xludf.DUMMYFUNCTION("IFERROR(
  IF(LEN(TRIM(B141))=6,
    DATE(2000+VALUE(RIGHT(TRIM(B141),2)),MATCH(LEFT(TRIM(B141),3),{""Jan"",""Feb"",""Mar"",""Apr"",""May"",""Jun"",""Jul"",""Aug"",""Sep"",""Oct"",""Nov"",""Dec""},0),15),
  IF(REGEXMATCH(TRIM(B141),""^\d{2}[/-]\d{2}[/-]\d"&amp;"{4}$""),
    DATE(VALUE(RIGHT(TRIM(B141),4)),VALUE(MID(TRIM(B141),4,2)),VALUE(LEFT(TRIM(B141),2))),
  DATEVALUE(TRIM(B141)))),
""CHECK"")"),45723.0)</f>
        <v>45723</v>
      </c>
      <c r="R141" s="2" t="str">
        <f t="shared" si="2"/>
        <v>Mar</v>
      </c>
      <c r="S141" s="2" t="str">
        <f t="shared" si="3"/>
        <v>Q1</v>
      </c>
      <c r="T141" s="2">
        <f t="shared" si="4"/>
        <v>60051.84</v>
      </c>
    </row>
    <row r="142">
      <c r="A142" s="5" t="s">
        <v>454</v>
      </c>
      <c r="B142" s="5" t="s">
        <v>455</v>
      </c>
      <c r="C142" s="5" t="s">
        <v>22</v>
      </c>
      <c r="D142" s="5" t="s">
        <v>85</v>
      </c>
      <c r="E142" s="5" t="s">
        <v>63</v>
      </c>
      <c r="F142" s="5" t="s">
        <v>164</v>
      </c>
      <c r="G142" s="5">
        <v>13427.73</v>
      </c>
      <c r="H142" s="5" t="s">
        <v>26</v>
      </c>
      <c r="I142" s="5" t="s">
        <v>72</v>
      </c>
      <c r="J142" s="5" t="s">
        <v>108</v>
      </c>
      <c r="K142" s="5" t="s">
        <v>59</v>
      </c>
      <c r="L142" s="5"/>
      <c r="N142" s="2" t="str">
        <f t="shared" si="1"/>
        <v>Sales</v>
      </c>
      <c r="O142" s="6">
        <f>IFERROR(__xludf.DUMMYFUNCTION("IFERROR(
  IF(LEN(TRIM(B142))=6,
    DATE(2000+VALUE(RIGHT(TRIM(B142),2)),MATCH(LEFT(TRIM(B142),3),{""Jan"",""Feb"",""Mar"",""Apr"",""May"",""Jun"",""Jul"",""Aug"",""Sep"",""Oct"",""Nov"",""Dec""},0),15),
  IF(REGEXMATCH(TRIM(B142),""^\d{2}[/-]\d{2}[/-]\d"&amp;"{4}$""),
    DATE(VALUE(RIGHT(TRIM(B142),4)),VALUE(MID(TRIM(B142),4,2)),VALUE(LEFT(TRIM(B142),2))),
  DATEVALUE(TRIM(B142)))),
""CHECK"")"),45535.0)</f>
        <v>45535</v>
      </c>
      <c r="R142" s="2" t="str">
        <f t="shared" si="2"/>
        <v>Aug</v>
      </c>
      <c r="S142" s="2" t="str">
        <f t="shared" si="3"/>
        <v>Q3</v>
      </c>
      <c r="T142" s="2">
        <f t="shared" si="4"/>
        <v>13427.73</v>
      </c>
    </row>
    <row r="143">
      <c r="A143" s="7" t="s">
        <v>456</v>
      </c>
      <c r="B143" s="7" t="s">
        <v>457</v>
      </c>
      <c r="C143" s="7" t="s">
        <v>22</v>
      </c>
      <c r="D143" s="7" t="s">
        <v>85</v>
      </c>
      <c r="E143" s="7" t="s">
        <v>111</v>
      </c>
      <c r="F143" s="7" t="s">
        <v>301</v>
      </c>
      <c r="G143" s="7">
        <v>20676.68</v>
      </c>
      <c r="H143" s="7" t="s">
        <v>26</v>
      </c>
      <c r="I143" s="7" t="s">
        <v>213</v>
      </c>
      <c r="J143" s="7" t="s">
        <v>58</v>
      </c>
      <c r="K143" s="7" t="s">
        <v>59</v>
      </c>
      <c r="L143" s="7"/>
      <c r="N143" s="2" t="str">
        <f t="shared" si="1"/>
        <v>Sales</v>
      </c>
      <c r="O143" s="6">
        <f>IFERROR(__xludf.DUMMYFUNCTION("IFERROR(
  IF(LEN(TRIM(B143))=6,
    DATE(2000+VALUE(RIGHT(TRIM(B143),2)),MATCH(LEFT(TRIM(B143),3),{""Jan"",""Feb"",""Mar"",""Apr"",""May"",""Jun"",""Jul"",""Aug"",""Sep"",""Oct"",""Nov"",""Dec""},0),15),
  IF(REGEXMATCH(TRIM(B143),""^\d{2}[/-]\d{2}[/-]\d"&amp;"{4}$""),
    DATE(VALUE(RIGHT(TRIM(B143),4)),VALUE(MID(TRIM(B143),4,2)),VALUE(LEFT(TRIM(B143),2))),
  DATEVALUE(TRIM(B143)))),
""CHECK"")"),45501.0)</f>
        <v>45501</v>
      </c>
      <c r="R143" s="2" t="str">
        <f t="shared" si="2"/>
        <v>Jul</v>
      </c>
      <c r="S143" s="2" t="str">
        <f t="shared" si="3"/>
        <v>Q3</v>
      </c>
      <c r="T143" s="2">
        <f t="shared" si="4"/>
        <v>20676.68</v>
      </c>
    </row>
    <row r="144">
      <c r="A144" s="5" t="s">
        <v>458</v>
      </c>
      <c r="B144" s="5" t="s">
        <v>459</v>
      </c>
      <c r="C144" s="5" t="s">
        <v>34</v>
      </c>
      <c r="D144" s="5" t="s">
        <v>90</v>
      </c>
      <c r="E144" s="5" t="s">
        <v>104</v>
      </c>
      <c r="F144" s="5" t="s">
        <v>107</v>
      </c>
      <c r="G144" s="5">
        <v>12140.08</v>
      </c>
      <c r="H144" s="5" t="s">
        <v>26</v>
      </c>
      <c r="I144" s="5" t="s">
        <v>37</v>
      </c>
      <c r="J144" s="5" t="s">
        <v>113</v>
      </c>
      <c r="K144" s="5" t="s">
        <v>67</v>
      </c>
      <c r="L144" s="5"/>
      <c r="N144" s="2" t="str">
        <f t="shared" si="1"/>
        <v>G&amp;A</v>
      </c>
      <c r="O144" s="6">
        <f>IFERROR(__xludf.DUMMYFUNCTION("IFERROR(
  IF(LEN(TRIM(B144))=6,
    DATE(2000+VALUE(RIGHT(TRIM(B144),2)),MATCH(LEFT(TRIM(B144),3),{""Jan"",""Feb"",""Mar"",""Apr"",""May"",""Jun"",""Jul"",""Aug"",""Sep"",""Oct"",""Nov"",""Dec""},0),15),
  IF(REGEXMATCH(TRIM(B144),""^\d{2}[/-]\d{2}[/-]\d"&amp;"{4}$""),
    DATE(VALUE(RIGHT(TRIM(B144),4)),VALUE(MID(TRIM(B144),4,2)),VALUE(LEFT(TRIM(B144),2))),
  DATEVALUE(TRIM(B144)))),
""CHECK"")"),45783.0)</f>
        <v>45783</v>
      </c>
      <c r="R144" s="2" t="str">
        <f t="shared" si="2"/>
        <v>May</v>
      </c>
      <c r="S144" s="2" t="str">
        <f t="shared" si="3"/>
        <v>Q2</v>
      </c>
      <c r="T144" s="2">
        <f t="shared" si="4"/>
        <v>12140.08</v>
      </c>
    </row>
    <row r="145">
      <c r="A145" s="7" t="s">
        <v>460</v>
      </c>
      <c r="B145" s="7" t="s">
        <v>461</v>
      </c>
      <c r="C145" s="7" t="s">
        <v>34</v>
      </c>
      <c r="D145" s="7" t="s">
        <v>82</v>
      </c>
      <c r="E145" s="7" t="s">
        <v>94</v>
      </c>
      <c r="F145" s="7" t="s">
        <v>462</v>
      </c>
      <c r="G145" s="7">
        <v>17008.34</v>
      </c>
      <c r="H145" s="7" t="s">
        <v>26</v>
      </c>
      <c r="I145" s="7" t="s">
        <v>147</v>
      </c>
      <c r="J145" s="7" t="s">
        <v>113</v>
      </c>
      <c r="K145" s="7" t="s">
        <v>67</v>
      </c>
      <c r="L145" s="7"/>
      <c r="N145" s="2" t="str">
        <f t="shared" si="1"/>
        <v>Engineering</v>
      </c>
      <c r="O145" s="6">
        <f>IFERROR(__xludf.DUMMYFUNCTION("IFERROR(
  IF(LEN(TRIM(B145))=6,
    DATE(2000+VALUE(RIGHT(TRIM(B145),2)),MATCH(LEFT(TRIM(B145),3),{""Jan"",""Feb"",""Mar"",""Apr"",""May"",""Jun"",""Jul"",""Aug"",""Sep"",""Oct"",""Nov"",""Dec""},0),15),
  IF(REGEXMATCH(TRIM(B145),""^\d{2}[/-]\d{2}[/-]\d"&amp;"{4}$""),
    DATE(VALUE(RIGHT(TRIM(B145),4)),VALUE(MID(TRIM(B145),4,2)),VALUE(LEFT(TRIM(B145),2))),
  DATEVALUE(TRIM(B145)))),
""CHECK"")"),45468.0)</f>
        <v>45468</v>
      </c>
      <c r="R145" s="2" t="str">
        <f t="shared" si="2"/>
        <v>Jun</v>
      </c>
      <c r="S145" s="2" t="str">
        <f t="shared" si="3"/>
        <v>Q2</v>
      </c>
      <c r="T145" s="2">
        <f t="shared" si="4"/>
        <v>17008.34</v>
      </c>
    </row>
    <row r="146">
      <c r="A146" s="5" t="s">
        <v>463</v>
      </c>
      <c r="B146" s="5" t="s">
        <v>464</v>
      </c>
      <c r="C146" s="5" t="s">
        <v>34</v>
      </c>
      <c r="D146" s="5" t="s">
        <v>31</v>
      </c>
      <c r="E146" s="5" t="s">
        <v>77</v>
      </c>
      <c r="F146" s="5" t="s">
        <v>155</v>
      </c>
      <c r="G146" s="5">
        <v>29871.54</v>
      </c>
      <c r="H146" s="5" t="s">
        <v>26</v>
      </c>
      <c r="I146" s="5" t="s">
        <v>141</v>
      </c>
      <c r="J146" s="5" t="s">
        <v>73</v>
      </c>
      <c r="K146" s="5" t="s">
        <v>59</v>
      </c>
      <c r="L146" s="5"/>
      <c r="N146" s="2" t="str">
        <f t="shared" si="1"/>
        <v>Cloud Infrastructure</v>
      </c>
      <c r="O146" s="6">
        <f>IFERROR(__xludf.DUMMYFUNCTION("IFERROR(
  IF(LEN(TRIM(B146))=6,
    DATE(2000+VALUE(RIGHT(TRIM(B146),2)),MATCH(LEFT(TRIM(B146),3),{""Jan"",""Feb"",""Mar"",""Apr"",""May"",""Jun"",""Jul"",""Aug"",""Sep"",""Oct"",""Nov"",""Dec""},0),15),
  IF(REGEXMATCH(TRIM(B146),""^\d{2}[/-]\d{2}[/-]\d"&amp;"{4}$""),
    DATE(VALUE(RIGHT(TRIM(B146),4)),VALUE(MID(TRIM(B146),4,2)),VALUE(LEFT(TRIM(B146),2))),
  DATEVALUE(TRIM(B146)))),
""CHECK"")"),45553.0)</f>
        <v>45553</v>
      </c>
      <c r="R146" s="2" t="str">
        <f t="shared" si="2"/>
        <v>Sep</v>
      </c>
      <c r="S146" s="2" t="str">
        <f t="shared" si="3"/>
        <v>Q3</v>
      </c>
      <c r="T146" s="2">
        <f t="shared" si="4"/>
        <v>29871.54</v>
      </c>
    </row>
    <row r="147">
      <c r="A147" s="7" t="s">
        <v>465</v>
      </c>
      <c r="B147" s="7" t="s">
        <v>466</v>
      </c>
      <c r="C147" s="7" t="s">
        <v>34</v>
      </c>
      <c r="D147" s="7" t="s">
        <v>111</v>
      </c>
      <c r="E147" s="7" t="s">
        <v>63</v>
      </c>
      <c r="F147" s="7" t="s">
        <v>462</v>
      </c>
      <c r="G147" s="7">
        <v>13107.62</v>
      </c>
      <c r="H147" s="7" t="s">
        <v>26</v>
      </c>
      <c r="I147" s="7" t="s">
        <v>147</v>
      </c>
      <c r="J147" s="7" t="s">
        <v>142</v>
      </c>
      <c r="K147" s="7" t="s">
        <v>39</v>
      </c>
      <c r="L147" s="7"/>
      <c r="N147" s="2" t="str">
        <f t="shared" si="1"/>
        <v>Sales</v>
      </c>
      <c r="O147" s="6">
        <f>IFERROR(__xludf.DUMMYFUNCTION("IFERROR(
  IF(LEN(TRIM(B147))=6,
    DATE(2000+VALUE(RIGHT(TRIM(B147),2)),MATCH(LEFT(TRIM(B147),3),{""Jan"",""Feb"",""Mar"",""Apr"",""May"",""Jun"",""Jul"",""Aug"",""Sep"",""Oct"",""Nov"",""Dec""},0),15),
  IF(REGEXMATCH(TRIM(B147),""^\d{2}[/-]\d{2}[/-]\d"&amp;"{4}$""),
    DATE(VALUE(RIGHT(TRIM(B147),4)),VALUE(MID(TRIM(B147),4,2)),VALUE(LEFT(TRIM(B147),2))),
  DATEVALUE(TRIM(B147)))),
""CHECK"")"),45610.0)</f>
        <v>45610</v>
      </c>
      <c r="R147" s="2" t="str">
        <f t="shared" si="2"/>
        <v>Nov</v>
      </c>
      <c r="S147" s="2" t="str">
        <f t="shared" si="3"/>
        <v>Q4</v>
      </c>
      <c r="T147" s="2">
        <f t="shared" si="4"/>
        <v>13107.62</v>
      </c>
    </row>
    <row r="148">
      <c r="A148" s="5" t="s">
        <v>467</v>
      </c>
      <c r="B148" s="5" t="s">
        <v>468</v>
      </c>
      <c r="C148" s="5" t="s">
        <v>22</v>
      </c>
      <c r="D148" s="5" t="s">
        <v>23</v>
      </c>
      <c r="E148" s="5" t="s">
        <v>97</v>
      </c>
      <c r="F148" s="5" t="s">
        <v>187</v>
      </c>
      <c r="G148" s="5">
        <v>136078.17</v>
      </c>
      <c r="H148" s="5" t="s">
        <v>26</v>
      </c>
      <c r="I148" s="5" t="s">
        <v>65</v>
      </c>
      <c r="J148" s="5" t="s">
        <v>73</v>
      </c>
      <c r="K148" s="5" t="s">
        <v>59</v>
      </c>
      <c r="L148" s="5"/>
      <c r="N148" s="2" t="str">
        <f t="shared" si="1"/>
        <v>Sales</v>
      </c>
      <c r="O148" s="6">
        <f>IFERROR(__xludf.DUMMYFUNCTION("IFERROR(
  IF(LEN(TRIM(B148))=6,
    DATE(2000+VALUE(RIGHT(TRIM(B148),2)),MATCH(LEFT(TRIM(B148),3),{""Jan"",""Feb"",""Mar"",""Apr"",""May"",""Jun"",""Jul"",""Aug"",""Sep"",""Oct"",""Nov"",""Dec""},0),15),
  IF(REGEXMATCH(TRIM(B148),""^\d{2}[/-]\d{2}[/-]\d"&amp;"{4}$""),
    DATE(VALUE(RIGHT(TRIM(B148),4)),VALUE(MID(TRIM(B148),4,2)),VALUE(LEFT(TRIM(B148),2))),
  DATEVALUE(TRIM(B148)))),
""CHECK"")"),45545.0)</f>
        <v>45545</v>
      </c>
      <c r="R148" s="2" t="str">
        <f t="shared" si="2"/>
        <v>Sep</v>
      </c>
      <c r="S148" s="2" t="str">
        <f t="shared" si="3"/>
        <v>Q3</v>
      </c>
      <c r="T148" s="2">
        <f t="shared" si="4"/>
        <v>136078.17</v>
      </c>
    </row>
    <row r="149">
      <c r="A149" s="7" t="s">
        <v>469</v>
      </c>
      <c r="B149" s="7" t="s">
        <v>470</v>
      </c>
      <c r="C149" s="7" t="s">
        <v>34</v>
      </c>
      <c r="D149" s="7" t="s">
        <v>54</v>
      </c>
      <c r="E149" s="7" t="s">
        <v>196</v>
      </c>
      <c r="F149" s="7" t="s">
        <v>462</v>
      </c>
      <c r="G149" s="7">
        <v>53762.71</v>
      </c>
      <c r="H149" s="7" t="s">
        <v>26</v>
      </c>
      <c r="I149" s="7" t="s">
        <v>147</v>
      </c>
      <c r="J149" s="7" t="s">
        <v>108</v>
      </c>
      <c r="K149" s="7" t="s">
        <v>59</v>
      </c>
      <c r="L149" s="7"/>
      <c r="N149" s="2" t="str">
        <f t="shared" si="1"/>
        <v>Marketing</v>
      </c>
      <c r="O149" s="6">
        <f>IFERROR(__xludf.DUMMYFUNCTION("IFERROR(
  IF(LEN(TRIM(B149))=6,
    DATE(2000+VALUE(RIGHT(TRIM(B149),2)),MATCH(LEFT(TRIM(B149),3),{""Jan"",""Feb"",""Mar"",""Apr"",""May"",""Jun"",""Jul"",""Aug"",""Sep"",""Oct"",""Nov"",""Dec""},0),15),
  IF(REGEXMATCH(TRIM(B149),""^\d{2}[/-]\d{2}[/-]\d"&amp;"{4}$""),
    DATE(VALUE(RIGHT(TRIM(B149),4)),VALUE(MID(TRIM(B149),4,2)),VALUE(LEFT(TRIM(B149),2))),
  DATEVALUE(TRIM(B149)))),
""CHECK"")"),45517.0)</f>
        <v>45517</v>
      </c>
      <c r="R149" s="2" t="str">
        <f t="shared" si="2"/>
        <v>Aug</v>
      </c>
      <c r="S149" s="2" t="str">
        <f t="shared" si="3"/>
        <v>Q3</v>
      </c>
      <c r="T149" s="2">
        <f t="shared" si="4"/>
        <v>53762.71</v>
      </c>
    </row>
    <row r="150">
      <c r="A150" s="5" t="s">
        <v>471</v>
      </c>
      <c r="B150" s="5" t="s">
        <v>163</v>
      </c>
      <c r="C150" s="5" t="s">
        <v>22</v>
      </c>
      <c r="D150" s="5" t="s">
        <v>23</v>
      </c>
      <c r="E150" s="5" t="s">
        <v>63</v>
      </c>
      <c r="F150" s="5" t="s">
        <v>227</v>
      </c>
      <c r="G150" s="5">
        <v>112888.9</v>
      </c>
      <c r="H150" s="5" t="s">
        <v>26</v>
      </c>
      <c r="I150" s="5" t="s">
        <v>129</v>
      </c>
      <c r="J150" s="5" t="s">
        <v>126</v>
      </c>
      <c r="K150" s="5" t="s">
        <v>29</v>
      </c>
      <c r="L150" s="5"/>
      <c r="N150" s="2" t="str">
        <f t="shared" si="1"/>
        <v>Sales</v>
      </c>
      <c r="O150" s="6">
        <f>IFERROR(__xludf.DUMMYFUNCTION("IFERROR(
  IF(LEN(TRIM(B150))=6,
    DATE(2000+VALUE(RIGHT(TRIM(B150),2)),MATCH(LEFT(TRIM(B150),3),{""Jan"",""Feb"",""Mar"",""Apr"",""May"",""Jun"",""Jul"",""Aug"",""Sep"",""Oct"",""Nov"",""Dec""},0),15),
  IF(REGEXMATCH(TRIM(B150),""^\d{2}[/-]\d{2}[/-]\d"&amp;"{4}$""),
    DATE(VALUE(RIGHT(TRIM(B150),4)),VALUE(MID(TRIM(B150),4,2)),VALUE(LEFT(TRIM(B150),2))),
  DATEVALUE(TRIM(B150)))),
""CHECK"")"),45327.0)</f>
        <v>45327</v>
      </c>
      <c r="R150" s="2" t="str">
        <f t="shared" si="2"/>
        <v>Feb</v>
      </c>
      <c r="S150" s="2" t="str">
        <f t="shared" si="3"/>
        <v>Q1</v>
      </c>
      <c r="T150" s="2">
        <f t="shared" si="4"/>
        <v>112888.9</v>
      </c>
    </row>
    <row r="151">
      <c r="A151" s="7" t="s">
        <v>472</v>
      </c>
      <c r="B151" s="7" t="s">
        <v>239</v>
      </c>
      <c r="C151" s="7" t="s">
        <v>34</v>
      </c>
      <c r="D151" s="7" t="s">
        <v>54</v>
      </c>
      <c r="E151" s="7" t="s">
        <v>54</v>
      </c>
      <c r="F151" s="7" t="s">
        <v>260</v>
      </c>
      <c r="G151" s="7">
        <v>40177.69</v>
      </c>
      <c r="H151" s="7" t="s">
        <v>26</v>
      </c>
      <c r="I151" s="7" t="s">
        <v>93</v>
      </c>
      <c r="J151" s="7" t="s">
        <v>38</v>
      </c>
      <c r="K151" s="7" t="s">
        <v>39</v>
      </c>
      <c r="L151" s="7"/>
      <c r="N151" s="2" t="str">
        <f t="shared" si="1"/>
        <v>Marketing</v>
      </c>
      <c r="O151" s="6">
        <f>IFERROR(__xludf.DUMMYFUNCTION("IFERROR(
  IF(LEN(TRIM(B151))=6,
    DATE(2000+VALUE(RIGHT(TRIM(B151),2)),MATCH(LEFT(TRIM(B151),3),{""Jan"",""Feb"",""Mar"",""Apr"",""May"",""Jun"",""Jul"",""Aug"",""Sep"",""Oct"",""Nov"",""Dec""},0),15),
  IF(REGEXMATCH(TRIM(B151),""^\d{2}[/-]\d{2}[/-]\d"&amp;"{4}$""),
    DATE(VALUE(RIGHT(TRIM(B151),4)),VALUE(MID(TRIM(B151),4,2)),VALUE(LEFT(TRIM(B151),2))),
  DATEVALUE(TRIM(B151)))),
""CHECK"")"),45641.0)</f>
        <v>45641</v>
      </c>
      <c r="R151" s="2" t="str">
        <f t="shared" si="2"/>
        <v>Dec</v>
      </c>
      <c r="S151" s="2" t="str">
        <f t="shared" si="3"/>
        <v>Q4</v>
      </c>
      <c r="T151" s="2">
        <f t="shared" si="4"/>
        <v>40177.69</v>
      </c>
    </row>
    <row r="152">
      <c r="A152" s="5" t="s">
        <v>473</v>
      </c>
      <c r="B152" s="5" t="s">
        <v>474</v>
      </c>
      <c r="C152" s="5" t="s">
        <v>34</v>
      </c>
      <c r="D152" s="5" t="s">
        <v>111</v>
      </c>
      <c r="E152" s="5" t="s">
        <v>97</v>
      </c>
      <c r="F152" s="5" t="s">
        <v>475</v>
      </c>
      <c r="G152" s="5">
        <v>12539.61</v>
      </c>
      <c r="H152" s="5" t="s">
        <v>26</v>
      </c>
      <c r="I152" s="5" t="s">
        <v>57</v>
      </c>
      <c r="J152" s="5" t="s">
        <v>87</v>
      </c>
      <c r="K152" s="5" t="s">
        <v>67</v>
      </c>
      <c r="L152" s="5"/>
      <c r="N152" s="2" t="str">
        <f t="shared" si="1"/>
        <v>Sales</v>
      </c>
      <c r="O152" s="6">
        <f>IFERROR(__xludf.DUMMYFUNCTION("IFERROR(
  IF(LEN(TRIM(B152))=6,
    DATE(2000+VALUE(RIGHT(TRIM(B152),2)),MATCH(LEFT(TRIM(B152),3),{""Jan"",""Feb"",""Mar"",""Apr"",""May"",""Jun"",""Jul"",""Aug"",""Sep"",""Oct"",""Nov"",""Dec""},0),15),
  IF(REGEXMATCH(TRIM(B152),""^\d{2}[/-]\d{2}[/-]\d"&amp;"{4}$""),
    DATE(VALUE(RIGHT(TRIM(B152),4)),VALUE(MID(TRIM(B152),4,2)),VALUE(LEFT(TRIM(B152),2))),
  DATEVALUE(TRIM(B152)))),
""CHECK"")"),45434.0)</f>
        <v>45434</v>
      </c>
      <c r="R152" s="2" t="str">
        <f t="shared" si="2"/>
        <v>May</v>
      </c>
      <c r="S152" s="2" t="str">
        <f t="shared" si="3"/>
        <v>Q2</v>
      </c>
      <c r="T152" s="2">
        <f t="shared" si="4"/>
        <v>12539.61</v>
      </c>
    </row>
    <row r="153">
      <c r="A153" s="7" t="s">
        <v>476</v>
      </c>
      <c r="B153" s="7" t="s">
        <v>477</v>
      </c>
      <c r="C153" s="7" t="s">
        <v>34</v>
      </c>
      <c r="D153" s="7" t="s">
        <v>82</v>
      </c>
      <c r="E153" s="7" t="s">
        <v>81</v>
      </c>
      <c r="F153" s="7" t="s">
        <v>478</v>
      </c>
      <c r="G153" s="7">
        <v>23903.2</v>
      </c>
      <c r="H153" s="7" t="s">
        <v>26</v>
      </c>
      <c r="I153" s="7" t="s">
        <v>231</v>
      </c>
      <c r="J153" s="7" t="s">
        <v>66</v>
      </c>
      <c r="K153" s="7" t="s">
        <v>67</v>
      </c>
      <c r="L153" s="7"/>
      <c r="N153" s="2" t="str">
        <f t="shared" si="1"/>
        <v>Engineering</v>
      </c>
      <c r="O153" s="6">
        <f>IFERROR(__xludf.DUMMYFUNCTION("IFERROR(
  IF(LEN(TRIM(B153))=6,
    DATE(2000+VALUE(RIGHT(TRIM(B153),2)),MATCH(LEFT(TRIM(B153),3),{""Jan"",""Feb"",""Mar"",""Apr"",""May"",""Jun"",""Jul"",""Aug"",""Sep"",""Oct"",""Nov"",""Dec""},0),15),
  IF(REGEXMATCH(TRIM(B153),""^\d{2}[/-]\d{2}[/-]\d"&amp;"{4}$""),
    DATE(VALUE(RIGHT(TRIM(B153),4)),VALUE(MID(TRIM(B153),4,2)),VALUE(LEFT(TRIM(B153),2))),
  DATEVALUE(TRIM(B153)))),
""CHECK"")"),45397.0)</f>
        <v>45397</v>
      </c>
      <c r="R153" s="2" t="str">
        <f t="shared" si="2"/>
        <v>Apr</v>
      </c>
      <c r="S153" s="2" t="str">
        <f t="shared" si="3"/>
        <v>Q2</v>
      </c>
      <c r="T153" s="2">
        <f t="shared" si="4"/>
        <v>23903.2</v>
      </c>
    </row>
    <row r="154">
      <c r="A154" s="5" t="s">
        <v>479</v>
      </c>
      <c r="B154" s="5" t="s">
        <v>480</v>
      </c>
      <c r="C154" s="5" t="s">
        <v>34</v>
      </c>
      <c r="D154" s="5" t="s">
        <v>54</v>
      </c>
      <c r="E154" s="5" t="s">
        <v>55</v>
      </c>
      <c r="F154" s="5" t="s">
        <v>209</v>
      </c>
      <c r="G154" s="5">
        <v>27769.27</v>
      </c>
      <c r="H154" s="5" t="s">
        <v>26</v>
      </c>
      <c r="I154" s="5" t="s">
        <v>93</v>
      </c>
      <c r="J154" s="5" t="s">
        <v>44</v>
      </c>
      <c r="K154" s="5" t="s">
        <v>29</v>
      </c>
      <c r="L154" s="5"/>
      <c r="N154" s="2" t="str">
        <f t="shared" si="1"/>
        <v>Marketing</v>
      </c>
      <c r="O154" s="6">
        <f>IFERROR(__xludf.DUMMYFUNCTION("IFERROR(
  IF(LEN(TRIM(B154))=6,
    DATE(2000+VALUE(RIGHT(TRIM(B154),2)),MATCH(LEFT(TRIM(B154),3),{""Jan"",""Feb"",""Mar"",""Apr"",""May"",""Jun"",""Jul"",""Aug"",""Sep"",""Oct"",""Nov"",""Dec""},0),15),
  IF(REGEXMATCH(TRIM(B154),""^\d{2}[/-]\d{2}[/-]\d"&amp;"{4}$""),
    DATE(VALUE(RIGHT(TRIM(B154),4)),VALUE(MID(TRIM(B154),4,2)),VALUE(LEFT(TRIM(B154),2))),
  DATEVALUE(TRIM(B154)))),
""CHECK"")"),45373.0)</f>
        <v>45373</v>
      </c>
      <c r="R154" s="2" t="str">
        <f t="shared" si="2"/>
        <v>Mar</v>
      </c>
      <c r="S154" s="2" t="str">
        <f t="shared" si="3"/>
        <v>Q1</v>
      </c>
      <c r="T154" s="2">
        <f t="shared" si="4"/>
        <v>27769.27</v>
      </c>
    </row>
    <row r="155">
      <c r="A155" s="7" t="s">
        <v>481</v>
      </c>
      <c r="B155" s="7" t="s">
        <v>332</v>
      </c>
      <c r="C155" s="7" t="s">
        <v>22</v>
      </c>
      <c r="D155" s="7" t="s">
        <v>85</v>
      </c>
      <c r="E155" s="7" t="s">
        <v>63</v>
      </c>
      <c r="F155" s="7" t="s">
        <v>253</v>
      </c>
      <c r="G155" s="7">
        <v>25477.45</v>
      </c>
      <c r="H155" s="7" t="s">
        <v>26</v>
      </c>
      <c r="I155" s="7" t="s">
        <v>27</v>
      </c>
      <c r="J155" s="7" t="s">
        <v>113</v>
      </c>
      <c r="K155" s="7" t="s">
        <v>67</v>
      </c>
      <c r="L155" s="7"/>
      <c r="N155" s="2" t="str">
        <f t="shared" si="1"/>
        <v>Sales</v>
      </c>
      <c r="O155" s="6">
        <f>IFERROR(__xludf.DUMMYFUNCTION("IFERROR(
  IF(LEN(TRIM(B155))=6,
    DATE(2000+VALUE(RIGHT(TRIM(B155),2)),MATCH(LEFT(TRIM(B155),3),{""Jan"",""Feb"",""Mar"",""Apr"",""May"",""Jun"",""Jul"",""Aug"",""Sep"",""Oct"",""Nov"",""Dec""},0),15),
  IF(REGEXMATCH(TRIM(B155),""^\d{2}[/-]\d{2}[/-]\d"&amp;"{4}$""),
    DATE(VALUE(RIGHT(TRIM(B155),4)),VALUE(MID(TRIM(B155),4,2)),VALUE(LEFT(TRIM(B155),2))),
  DATEVALUE(TRIM(B155)))),
""CHECK"")"),45458.0)</f>
        <v>45458</v>
      </c>
      <c r="R155" s="2" t="str">
        <f t="shared" si="2"/>
        <v>Jun</v>
      </c>
      <c r="S155" s="2" t="str">
        <f t="shared" si="3"/>
        <v>Q2</v>
      </c>
      <c r="T155" s="2">
        <f t="shared" si="4"/>
        <v>25477.45</v>
      </c>
    </row>
    <row r="156">
      <c r="A156" s="5" t="s">
        <v>482</v>
      </c>
      <c r="B156" s="5" t="s">
        <v>483</v>
      </c>
      <c r="C156" s="5" t="s">
        <v>34</v>
      </c>
      <c r="D156" s="5" t="s">
        <v>82</v>
      </c>
      <c r="E156" s="5" t="s">
        <v>82</v>
      </c>
      <c r="F156" s="5" t="s">
        <v>444</v>
      </c>
      <c r="G156" s="5">
        <v>27473.77</v>
      </c>
      <c r="H156" s="5" t="s">
        <v>26</v>
      </c>
      <c r="I156" s="5" t="s">
        <v>103</v>
      </c>
      <c r="J156" s="5" t="s">
        <v>28</v>
      </c>
      <c r="K156" s="5" t="s">
        <v>29</v>
      </c>
      <c r="L156" s="5"/>
      <c r="N156" s="2" t="str">
        <f t="shared" si="1"/>
        <v>Engineering</v>
      </c>
      <c r="O156" s="6">
        <f>IFERROR(__xludf.DUMMYFUNCTION("IFERROR(
  IF(LEN(TRIM(B156))=6,
    DATE(2000+VALUE(RIGHT(TRIM(B156),2)),MATCH(LEFT(TRIM(B156),3),{""Jan"",""Feb"",""Mar"",""Apr"",""May"",""Jun"",""Jul"",""Aug"",""Sep"",""Oct"",""Nov"",""Dec""},0),15),
  IF(REGEXMATCH(TRIM(B156),""^\d{2}[/-]\d{2}[/-]\d"&amp;"{4}$""),
    DATE(VALUE(RIGHT(TRIM(B156),4)),VALUE(MID(TRIM(B156),4,2)),VALUE(LEFT(TRIM(B156),2))),
  DATEVALUE(TRIM(B156)))),
""CHECK"")"),45992.0)</f>
        <v>45992</v>
      </c>
      <c r="R156" s="2" t="str">
        <f t="shared" si="2"/>
        <v>Dec</v>
      </c>
      <c r="S156" s="2" t="str">
        <f t="shared" si="3"/>
        <v>Q4</v>
      </c>
      <c r="T156" s="2">
        <f t="shared" si="4"/>
        <v>27473.77</v>
      </c>
    </row>
    <row r="157">
      <c r="A157" s="7" t="s">
        <v>484</v>
      </c>
      <c r="B157" s="7" t="s">
        <v>332</v>
      </c>
      <c r="C157" s="7" t="s">
        <v>34</v>
      </c>
      <c r="D157" s="7" t="s">
        <v>51</v>
      </c>
      <c r="E157" s="7" t="s">
        <v>51</v>
      </c>
      <c r="F157" s="7" t="s">
        <v>365</v>
      </c>
      <c r="G157" s="7">
        <v>17791.76</v>
      </c>
      <c r="H157" s="7" t="s">
        <v>26</v>
      </c>
      <c r="I157" s="7" t="s">
        <v>57</v>
      </c>
      <c r="J157" s="7" t="s">
        <v>113</v>
      </c>
      <c r="K157" s="7" t="s">
        <v>67</v>
      </c>
      <c r="L157" s="7"/>
      <c r="N157" s="2" t="str">
        <f t="shared" si="1"/>
        <v>Customer Success</v>
      </c>
      <c r="O157" s="6">
        <f>IFERROR(__xludf.DUMMYFUNCTION("IFERROR(
  IF(LEN(TRIM(B157))=6,
    DATE(2000+VALUE(RIGHT(TRIM(B157),2)),MATCH(LEFT(TRIM(B157),3),{""Jan"",""Feb"",""Mar"",""Apr"",""May"",""Jun"",""Jul"",""Aug"",""Sep"",""Oct"",""Nov"",""Dec""},0),15),
  IF(REGEXMATCH(TRIM(B157),""^\d{2}[/-]\d{2}[/-]\d"&amp;"{4}$""),
    DATE(VALUE(RIGHT(TRIM(B157),4)),VALUE(MID(TRIM(B157),4,2)),VALUE(LEFT(TRIM(B157),2))),
  DATEVALUE(TRIM(B157)))),
""CHECK"")"),45458.0)</f>
        <v>45458</v>
      </c>
      <c r="R157" s="2" t="str">
        <f t="shared" si="2"/>
        <v>Jun</v>
      </c>
      <c r="S157" s="2" t="str">
        <f t="shared" si="3"/>
        <v>Q2</v>
      </c>
      <c r="T157" s="2">
        <f t="shared" si="4"/>
        <v>17791.76</v>
      </c>
    </row>
    <row r="158">
      <c r="A158" s="5" t="s">
        <v>485</v>
      </c>
      <c r="B158" s="5" t="s">
        <v>128</v>
      </c>
      <c r="C158" s="5" t="s">
        <v>34</v>
      </c>
      <c r="D158" s="5" t="s">
        <v>111</v>
      </c>
      <c r="E158" s="5" t="s">
        <v>24</v>
      </c>
      <c r="F158" s="5" t="s">
        <v>486</v>
      </c>
      <c r="G158" s="5">
        <v>-4785.93</v>
      </c>
      <c r="H158" s="5" t="s">
        <v>26</v>
      </c>
      <c r="I158" s="5" t="s">
        <v>231</v>
      </c>
      <c r="J158" s="5" t="s">
        <v>28</v>
      </c>
      <c r="K158" s="5" t="s">
        <v>29</v>
      </c>
      <c r="L158" s="5"/>
      <c r="N158" s="2" t="str">
        <f t="shared" si="1"/>
        <v>Sales</v>
      </c>
      <c r="O158" s="6">
        <f>IFERROR(__xludf.DUMMYFUNCTION("IFERROR(
  IF(LEN(TRIM(B158))=6,
    DATE(2000+VALUE(RIGHT(TRIM(B158),2)),MATCH(LEFT(TRIM(B158),3),{""Jan"",""Feb"",""Mar"",""Apr"",""May"",""Jun"",""Jul"",""Aug"",""Sep"",""Oct"",""Nov"",""Dec""},0),15),
  IF(REGEXMATCH(TRIM(B158),""^\d{2}[/-]\d{2}[/-]\d"&amp;"{4}$""),
    DATE(VALUE(RIGHT(TRIM(B158),4)),VALUE(MID(TRIM(B158),4,2)),VALUE(LEFT(TRIM(B158),2))),
  DATEVALUE(TRIM(B158)))),
""CHECK"")"),45306.0)</f>
        <v>45306</v>
      </c>
      <c r="R158" s="2" t="str">
        <f t="shared" si="2"/>
        <v>Jan</v>
      </c>
      <c r="S158" s="2" t="str">
        <f t="shared" si="3"/>
        <v>Q1</v>
      </c>
      <c r="T158" s="2">
        <f t="shared" si="4"/>
        <v>-4785.93</v>
      </c>
    </row>
    <row r="159">
      <c r="A159" s="7" t="s">
        <v>487</v>
      </c>
      <c r="B159" s="7" t="s">
        <v>488</v>
      </c>
      <c r="C159" s="8" t="s">
        <v>489</v>
      </c>
      <c r="D159" s="7" t="s">
        <v>23</v>
      </c>
      <c r="E159" s="7" t="s">
        <v>97</v>
      </c>
      <c r="F159" s="7" t="s">
        <v>187</v>
      </c>
      <c r="G159" s="7">
        <v>-7412.24</v>
      </c>
      <c r="H159" s="7" t="s">
        <v>26</v>
      </c>
      <c r="I159" s="7" t="s">
        <v>137</v>
      </c>
      <c r="J159" s="7" t="s">
        <v>142</v>
      </c>
      <c r="K159" s="7" t="s">
        <v>39</v>
      </c>
      <c r="L159" s="7"/>
      <c r="N159" s="2" t="str">
        <f t="shared" si="1"/>
        <v>Sales</v>
      </c>
      <c r="O159" s="6">
        <f>IFERROR(__xludf.DUMMYFUNCTION("IFERROR(
  IF(LEN(TRIM(B159))=6,
    DATE(2000+VALUE(RIGHT(TRIM(B159),2)),MATCH(LEFT(TRIM(B159),3),{""Jan"",""Feb"",""Mar"",""Apr"",""May"",""Jun"",""Jul"",""Aug"",""Sep"",""Oct"",""Nov"",""Dec""},0),15),
  IF(REGEXMATCH(TRIM(B159),""^\d{2}[/-]\d{2}[/-]\d"&amp;"{4}$""),
    DATE(VALUE(RIGHT(TRIM(B159),4)),VALUE(MID(TRIM(B159),4,2)),VALUE(LEFT(TRIM(B159),2))),
  DATEVALUE(TRIM(B159)))),
""CHECK"")"),45623.0)</f>
        <v>45623</v>
      </c>
      <c r="R159" s="2" t="str">
        <f t="shared" si="2"/>
        <v>Nov</v>
      </c>
      <c r="S159" s="2" t="str">
        <f t="shared" si="3"/>
        <v>Q4</v>
      </c>
      <c r="T159" s="2">
        <f t="shared" si="4"/>
        <v>-7412.24</v>
      </c>
    </row>
    <row r="160">
      <c r="A160" s="5" t="s">
        <v>490</v>
      </c>
      <c r="B160" s="5" t="s">
        <v>491</v>
      </c>
      <c r="C160" s="5" t="s">
        <v>34</v>
      </c>
      <c r="D160" s="5" t="s">
        <v>111</v>
      </c>
      <c r="E160" s="5" t="s">
        <v>97</v>
      </c>
      <c r="F160" s="5" t="s">
        <v>492</v>
      </c>
      <c r="G160" s="5">
        <v>64742.86</v>
      </c>
      <c r="H160" s="5" t="s">
        <v>26</v>
      </c>
      <c r="I160" s="5" t="s">
        <v>37</v>
      </c>
      <c r="J160" s="5" t="s">
        <v>113</v>
      </c>
      <c r="K160" s="5" t="s">
        <v>67</v>
      </c>
      <c r="L160" s="5"/>
      <c r="N160" s="2" t="str">
        <f t="shared" si="1"/>
        <v>Sales</v>
      </c>
      <c r="O160" s="6">
        <f>IFERROR(__xludf.DUMMYFUNCTION("IFERROR(
  IF(LEN(TRIM(B160))=6,
    DATE(2000+VALUE(RIGHT(TRIM(B160),2)),MATCH(LEFT(TRIM(B160),3),{""Jan"",""Feb"",""Mar"",""Apr"",""May"",""Jun"",""Jul"",""Aug"",""Sep"",""Oct"",""Nov"",""Dec""},0),15),
  IF(REGEXMATCH(TRIM(B160),""^\d{2}[/-]\d{2}[/-]\d"&amp;"{4}$""),
    DATE(VALUE(RIGHT(TRIM(B160),4)),VALUE(MID(TRIM(B160),4,2)),VALUE(LEFT(TRIM(B160),2))),
  DATEVALUE(TRIM(B160)))),
""CHECK"")"),45470.0)</f>
        <v>45470</v>
      </c>
      <c r="R160" s="2" t="str">
        <f t="shared" si="2"/>
        <v>Jun</v>
      </c>
      <c r="S160" s="2" t="str">
        <f t="shared" si="3"/>
        <v>Q2</v>
      </c>
      <c r="T160" s="2">
        <f t="shared" si="4"/>
        <v>64742.86</v>
      </c>
    </row>
    <row r="161">
      <c r="A161" s="7" t="s">
        <v>493</v>
      </c>
      <c r="B161" s="7" t="s">
        <v>337</v>
      </c>
      <c r="C161" s="7" t="s">
        <v>22</v>
      </c>
      <c r="D161" s="7" t="s">
        <v>85</v>
      </c>
      <c r="E161" s="7" t="s">
        <v>111</v>
      </c>
      <c r="F161" s="7" t="s">
        <v>494</v>
      </c>
      <c r="G161" s="7">
        <v>19437.26</v>
      </c>
      <c r="H161" s="7" t="s">
        <v>26</v>
      </c>
      <c r="I161" s="7" t="s">
        <v>65</v>
      </c>
      <c r="J161" s="7" t="s">
        <v>142</v>
      </c>
      <c r="K161" s="7" t="s">
        <v>39</v>
      </c>
      <c r="L161" s="7"/>
      <c r="N161" s="2" t="str">
        <f t="shared" si="1"/>
        <v>Sales</v>
      </c>
      <c r="O161" s="6">
        <f>IFERROR(__xludf.DUMMYFUNCTION("IFERROR(
  IF(LEN(TRIM(B161))=6,
    DATE(2000+VALUE(RIGHT(TRIM(B161),2)),MATCH(LEFT(TRIM(B161),3),{""Jan"",""Feb"",""Mar"",""Apr"",""May"",""Jun"",""Jul"",""Aug"",""Sep"",""Oct"",""Nov"",""Dec""},0),15),
  IF(REGEXMATCH(TRIM(B161),""^\d{2}[/-]\d{2}[/-]\d"&amp;"{4}$""),
    DATE(VALUE(RIGHT(TRIM(B161),4)),VALUE(MID(TRIM(B161),4,2)),VALUE(LEFT(TRIM(B161),2))),
  DATEVALUE(TRIM(B161)))),
""CHECK"")"),45611.0)</f>
        <v>45611</v>
      </c>
      <c r="R161" s="2" t="str">
        <f t="shared" si="2"/>
        <v>Nov</v>
      </c>
      <c r="S161" s="2" t="str">
        <f t="shared" si="3"/>
        <v>Q4</v>
      </c>
      <c r="T161" s="2">
        <f t="shared" si="4"/>
        <v>19437.26</v>
      </c>
    </row>
    <row r="162">
      <c r="A162" s="5" t="s">
        <v>495</v>
      </c>
      <c r="B162" s="5" t="s">
        <v>496</v>
      </c>
      <c r="C162" s="5" t="s">
        <v>34</v>
      </c>
      <c r="D162" s="5" t="s">
        <v>54</v>
      </c>
      <c r="E162" s="5" t="s">
        <v>130</v>
      </c>
      <c r="F162" s="5" t="s">
        <v>497</v>
      </c>
      <c r="G162" s="5">
        <v>30444.84</v>
      </c>
      <c r="H162" s="5" t="s">
        <v>26</v>
      </c>
      <c r="I162" s="5" t="s">
        <v>93</v>
      </c>
      <c r="J162" s="5" t="s">
        <v>66</v>
      </c>
      <c r="K162" s="5" t="s">
        <v>67</v>
      </c>
      <c r="L162" s="5"/>
      <c r="N162" s="2" t="str">
        <f t="shared" si="1"/>
        <v>Marketing</v>
      </c>
      <c r="O162" s="6">
        <f>IFERROR(__xludf.DUMMYFUNCTION("IFERROR(
  IF(LEN(TRIM(B162))=6,
    DATE(2000+VALUE(RIGHT(TRIM(B162),2)),MATCH(LEFT(TRIM(B162),3),{""Jan"",""Feb"",""Mar"",""Apr"",""May"",""Jun"",""Jul"",""Aug"",""Sep"",""Oct"",""Nov"",""Dec""},0),15),
  IF(REGEXMATCH(TRIM(B162),""^\d{2}[/-]\d{2}[/-]\d"&amp;"{4}$""),
    DATE(VALUE(RIGHT(TRIM(B162),4)),VALUE(MID(TRIM(B162),4,2)),VALUE(LEFT(TRIM(B162),2))),
  DATEVALUE(TRIM(B162)))),
""CHECK"")"),45407.0)</f>
        <v>45407</v>
      </c>
      <c r="R162" s="2" t="str">
        <f t="shared" si="2"/>
        <v>Apr</v>
      </c>
      <c r="S162" s="2" t="str">
        <f t="shared" si="3"/>
        <v>Q2</v>
      </c>
      <c r="T162" s="2">
        <f t="shared" si="4"/>
        <v>30444.84</v>
      </c>
    </row>
    <row r="163">
      <c r="A163" s="7" t="s">
        <v>498</v>
      </c>
      <c r="B163" s="7" t="s">
        <v>499</v>
      </c>
      <c r="C163" s="7" t="s">
        <v>34</v>
      </c>
      <c r="D163" s="7" t="s">
        <v>82</v>
      </c>
      <c r="E163" s="7" t="s">
        <v>82</v>
      </c>
      <c r="F163" s="7" t="s">
        <v>500</v>
      </c>
      <c r="G163" s="7">
        <v>22027.3</v>
      </c>
      <c r="H163" s="7" t="s">
        <v>26</v>
      </c>
      <c r="I163" s="7" t="s">
        <v>103</v>
      </c>
      <c r="J163" s="7" t="s">
        <v>44</v>
      </c>
      <c r="K163" s="7" t="s">
        <v>29</v>
      </c>
      <c r="L163" s="7"/>
      <c r="N163" s="2" t="str">
        <f t="shared" si="1"/>
        <v>Engineering</v>
      </c>
      <c r="O163" s="6">
        <f>IFERROR(__xludf.DUMMYFUNCTION("IFERROR(
  IF(LEN(TRIM(B163))=6,
    DATE(2000+VALUE(RIGHT(TRIM(B163),2)),MATCH(LEFT(TRIM(B163),3),{""Jan"",""Feb"",""Mar"",""Apr"",""May"",""Jun"",""Jul"",""Aug"",""Sep"",""Oct"",""Nov"",""Dec""},0),15),
  IF(REGEXMATCH(TRIM(B163),""^\d{2}[/-]\d{2}[/-]\d"&amp;"{4}$""),
    DATE(VALUE(RIGHT(TRIM(B163),4)),VALUE(MID(TRIM(B163),4,2)),VALUE(LEFT(TRIM(B163),2))),
  DATEVALUE(TRIM(B163)))),
""CHECK"")"),45378.0)</f>
        <v>45378</v>
      </c>
      <c r="R163" s="2" t="str">
        <f t="shared" si="2"/>
        <v>Mar</v>
      </c>
      <c r="S163" s="2" t="str">
        <f t="shared" si="3"/>
        <v>Q1</v>
      </c>
      <c r="T163" s="2">
        <f t="shared" si="4"/>
        <v>22027.3</v>
      </c>
    </row>
    <row r="164">
      <c r="A164" s="5" t="s">
        <v>501</v>
      </c>
      <c r="B164" s="5" t="s">
        <v>502</v>
      </c>
      <c r="C164" s="5" t="s">
        <v>34</v>
      </c>
      <c r="D164" s="5" t="s">
        <v>31</v>
      </c>
      <c r="E164" s="5" t="s">
        <v>35</v>
      </c>
      <c r="F164" s="5" t="s">
        <v>462</v>
      </c>
      <c r="G164" s="5">
        <v>23517.94</v>
      </c>
      <c r="H164" s="5" t="s">
        <v>26</v>
      </c>
      <c r="I164" s="5" t="s">
        <v>147</v>
      </c>
      <c r="J164" s="5" t="s">
        <v>49</v>
      </c>
      <c r="K164" s="5" t="s">
        <v>39</v>
      </c>
      <c r="L164" s="5"/>
      <c r="N164" s="2" t="str">
        <f t="shared" si="1"/>
        <v>Cloud Infrastructure</v>
      </c>
      <c r="O164" s="6">
        <f>IFERROR(__xludf.DUMMYFUNCTION("IFERROR(
  IF(LEN(TRIM(B164))=6,
    DATE(2000+VALUE(RIGHT(TRIM(B164),2)),MATCH(LEFT(TRIM(B164),3),{""Jan"",""Feb"",""Mar"",""Apr"",""May"",""Jun"",""Jul"",""Aug"",""Sep"",""Oct"",""Nov"",""Dec""},0),15),
  IF(REGEXMATCH(TRIM(B164),""^\d{2}[/-]\d{2}[/-]\d"&amp;"{4}$""),
    DATE(VALUE(RIGHT(TRIM(B164),4)),VALUE(MID(TRIM(B164),4,2)),VALUE(LEFT(TRIM(B164),2))),
  DATEVALUE(TRIM(B164)))),
""CHECK"")"),45580.0)</f>
        <v>45580</v>
      </c>
      <c r="R164" s="2" t="str">
        <f t="shared" si="2"/>
        <v>Oct</v>
      </c>
      <c r="S164" s="2" t="str">
        <f t="shared" si="3"/>
        <v>Q4</v>
      </c>
      <c r="T164" s="2">
        <f t="shared" si="4"/>
        <v>23517.94</v>
      </c>
    </row>
    <row r="165">
      <c r="A165" s="7" t="s">
        <v>503</v>
      </c>
      <c r="B165" s="7" t="s">
        <v>504</v>
      </c>
      <c r="C165" s="7" t="s">
        <v>34</v>
      </c>
      <c r="D165" s="7" t="s">
        <v>31</v>
      </c>
      <c r="E165" s="7" t="s">
        <v>77</v>
      </c>
      <c r="F165" s="7" t="s">
        <v>505</v>
      </c>
      <c r="G165" s="7">
        <v>36505.5</v>
      </c>
      <c r="H165" s="7" t="s">
        <v>26</v>
      </c>
      <c r="I165" s="7" t="s">
        <v>80</v>
      </c>
      <c r="J165" s="7" t="s">
        <v>49</v>
      </c>
      <c r="K165" s="7" t="s">
        <v>39</v>
      </c>
      <c r="L165" s="7"/>
      <c r="N165" s="2" t="str">
        <f t="shared" si="1"/>
        <v>Cloud Infrastructure</v>
      </c>
      <c r="O165" s="6">
        <f>IFERROR(__xludf.DUMMYFUNCTION("IFERROR(
  IF(LEN(TRIM(B165))=6,
    DATE(2000+VALUE(RIGHT(TRIM(B165),2)),MATCH(LEFT(TRIM(B165),3),{""Jan"",""Feb"",""Mar"",""Apr"",""May"",""Jun"",""Jul"",""Aug"",""Sep"",""Oct"",""Nov"",""Dec""},0),15),
  IF(REGEXMATCH(TRIM(B165),""^\d{2}[/-]\d{2}[/-]\d"&amp;"{4}$""),
    DATE(VALUE(RIGHT(TRIM(B165),4)),VALUE(MID(TRIM(B165),4,2)),VALUE(LEFT(TRIM(B165),2))),
  DATEVALUE(TRIM(B165)))),
""CHECK"")"),45581.0)</f>
        <v>45581</v>
      </c>
      <c r="R165" s="2" t="str">
        <f t="shared" si="2"/>
        <v>Oct</v>
      </c>
      <c r="S165" s="2" t="str">
        <f t="shared" si="3"/>
        <v>Q4</v>
      </c>
      <c r="T165" s="2">
        <f t="shared" si="4"/>
        <v>36505.5</v>
      </c>
    </row>
    <row r="166">
      <c r="A166" s="5" t="s">
        <v>506</v>
      </c>
      <c r="B166" s="5" t="s">
        <v>332</v>
      </c>
      <c r="C166" s="5" t="s">
        <v>34</v>
      </c>
      <c r="D166" s="5" t="s">
        <v>90</v>
      </c>
      <c r="E166" s="5" t="s">
        <v>91</v>
      </c>
      <c r="F166" s="5" t="s">
        <v>444</v>
      </c>
      <c r="G166" s="5"/>
      <c r="H166" s="5" t="s">
        <v>26</v>
      </c>
      <c r="I166" s="5" t="s">
        <v>103</v>
      </c>
      <c r="J166" s="5" t="s">
        <v>113</v>
      </c>
      <c r="K166" s="5" t="s">
        <v>67</v>
      </c>
      <c r="L166" s="5"/>
      <c r="N166" s="2" t="str">
        <f t="shared" si="1"/>
        <v>G&amp;A</v>
      </c>
      <c r="O166" s="6">
        <f>IFERROR(__xludf.DUMMYFUNCTION("IFERROR(
  IF(LEN(TRIM(B166))=6,
    DATE(2000+VALUE(RIGHT(TRIM(B166),2)),MATCH(LEFT(TRIM(B166),3),{""Jan"",""Feb"",""Mar"",""Apr"",""May"",""Jun"",""Jul"",""Aug"",""Sep"",""Oct"",""Nov"",""Dec""},0),15),
  IF(REGEXMATCH(TRIM(B166),""^\d{2}[/-]\d{2}[/-]\d"&amp;"{4}$""),
    DATE(VALUE(RIGHT(TRIM(B166),4)),VALUE(MID(TRIM(B166),4,2)),VALUE(LEFT(TRIM(B166),2))),
  DATEVALUE(TRIM(B166)))),
""CHECK"")"),45458.0)</f>
        <v>45458</v>
      </c>
      <c r="R166" s="2" t="str">
        <f t="shared" si="2"/>
        <v>Jun</v>
      </c>
      <c r="S166" s="2" t="str">
        <f t="shared" si="3"/>
        <v>Q2</v>
      </c>
      <c r="T166" s="2">
        <f t="shared" si="4"/>
        <v>0</v>
      </c>
    </row>
    <row r="167">
      <c r="A167" s="7" t="s">
        <v>507</v>
      </c>
      <c r="B167" s="7" t="s">
        <v>508</v>
      </c>
      <c r="C167" s="7" t="s">
        <v>22</v>
      </c>
      <c r="D167" s="7" t="s">
        <v>85</v>
      </c>
      <c r="E167" s="7" t="s">
        <v>111</v>
      </c>
      <c r="F167" s="7" t="s">
        <v>494</v>
      </c>
      <c r="G167" s="7">
        <v>25684.53</v>
      </c>
      <c r="H167" s="7" t="s">
        <v>26</v>
      </c>
      <c r="I167" s="7" t="s">
        <v>213</v>
      </c>
      <c r="J167" s="7" t="s">
        <v>113</v>
      </c>
      <c r="K167" s="7" t="s">
        <v>67</v>
      </c>
      <c r="L167" s="7"/>
      <c r="N167" s="2" t="str">
        <f t="shared" si="1"/>
        <v>Sales</v>
      </c>
      <c r="O167" s="6">
        <f>IFERROR(__xludf.DUMMYFUNCTION("IFERROR(
  IF(LEN(TRIM(B167))=6,
    DATE(2000+VALUE(RIGHT(TRIM(B167),2)),MATCH(LEFT(TRIM(B167),3),{""Jan"",""Feb"",""Mar"",""Apr"",""May"",""Jun"",""Jul"",""Aug"",""Sep"",""Oct"",""Nov"",""Dec""},0),15),
  IF(REGEXMATCH(TRIM(B167),""^\d{2}[/-]\d{2}[/-]\d"&amp;"{4}$""),
    DATE(VALUE(RIGHT(TRIM(B167),4)),VALUE(MID(TRIM(B167),4,2)),VALUE(LEFT(TRIM(B167),2))),
  DATEVALUE(TRIM(B167)))),
""CHECK"")"),45453.0)</f>
        <v>45453</v>
      </c>
      <c r="R167" s="2" t="str">
        <f t="shared" si="2"/>
        <v>Jun</v>
      </c>
      <c r="S167" s="2" t="str">
        <f t="shared" si="3"/>
        <v>Q2</v>
      </c>
      <c r="T167" s="2">
        <f t="shared" si="4"/>
        <v>25684.53</v>
      </c>
    </row>
    <row r="168">
      <c r="A168" s="5" t="s">
        <v>509</v>
      </c>
      <c r="B168" s="5" t="s">
        <v>510</v>
      </c>
      <c r="C168" s="5" t="s">
        <v>34</v>
      </c>
      <c r="D168" s="5" t="s">
        <v>31</v>
      </c>
      <c r="E168" s="5" t="s">
        <v>31</v>
      </c>
      <c r="F168" s="5" t="s">
        <v>511</v>
      </c>
      <c r="G168" s="5">
        <v>61641.47</v>
      </c>
      <c r="H168" s="5" t="s">
        <v>26</v>
      </c>
      <c r="I168" s="5" t="s">
        <v>394</v>
      </c>
      <c r="J168" s="5" t="s">
        <v>108</v>
      </c>
      <c r="K168" s="5" t="s">
        <v>59</v>
      </c>
      <c r="L168" s="5"/>
      <c r="N168" s="2" t="str">
        <f t="shared" si="1"/>
        <v>Cloud Infrastructure</v>
      </c>
      <c r="O168" s="6">
        <f>IFERROR(__xludf.DUMMYFUNCTION("IFERROR(
  IF(LEN(TRIM(B168))=6,
    DATE(2000+VALUE(RIGHT(TRIM(B168),2)),MATCH(LEFT(TRIM(B168),3),{""Jan"",""Feb"",""Mar"",""Apr"",""May"",""Jun"",""Jul"",""Aug"",""Sep"",""Oct"",""Nov"",""Dec""},0),15),
  IF(REGEXMATCH(TRIM(B168),""^\d{2}[/-]\d{2}[/-]\d"&amp;"{4}$""),
    DATE(VALUE(RIGHT(TRIM(B168),4)),VALUE(MID(TRIM(B168),4,2)),VALUE(LEFT(TRIM(B168),2))),
  DATEVALUE(TRIM(B168)))),
""CHECK"")"),45999.0)</f>
        <v>45999</v>
      </c>
      <c r="R168" s="2" t="str">
        <f t="shared" si="2"/>
        <v>Dec</v>
      </c>
      <c r="S168" s="2" t="str">
        <f t="shared" si="3"/>
        <v>Q4</v>
      </c>
      <c r="T168" s="2">
        <f t="shared" si="4"/>
        <v>61641.47</v>
      </c>
    </row>
    <row r="169">
      <c r="A169" s="7" t="s">
        <v>512</v>
      </c>
      <c r="B169" s="7" t="s">
        <v>513</v>
      </c>
      <c r="C169" s="7" t="s">
        <v>22</v>
      </c>
      <c r="D169" s="7" t="s">
        <v>23</v>
      </c>
      <c r="E169" s="7" t="s">
        <v>97</v>
      </c>
      <c r="F169" s="7" t="s">
        <v>71</v>
      </c>
      <c r="G169" s="7">
        <v>290249.79</v>
      </c>
      <c r="H169" s="7" t="s">
        <v>26</v>
      </c>
      <c r="I169" s="7" t="s">
        <v>27</v>
      </c>
      <c r="J169" s="7" t="s">
        <v>126</v>
      </c>
      <c r="K169" s="7" t="s">
        <v>29</v>
      </c>
      <c r="L169" s="7"/>
      <c r="N169" s="2" t="str">
        <f t="shared" si="1"/>
        <v>Sales</v>
      </c>
      <c r="O169" s="6">
        <f>IFERROR(__xludf.DUMMYFUNCTION("IFERROR(
  IF(LEN(TRIM(B169))=6,
    DATE(2000+VALUE(RIGHT(TRIM(B169),2)),MATCH(LEFT(TRIM(B169),3),{""Jan"",""Feb"",""Mar"",""Apr"",""May"",""Jun"",""Jul"",""Aug"",""Sep"",""Oct"",""Nov"",""Dec""},0),15),
  IF(REGEXMATCH(TRIM(B169),""^\d{2}[/-]\d{2}[/-]\d"&amp;"{4}$""),
    DATE(VALUE(RIGHT(TRIM(B169),4)),VALUE(MID(TRIM(B169),4,2)),VALUE(LEFT(TRIM(B169),2))),
  DATEVALUE(TRIM(B169)))),
""CHECK"")"),45341.0)</f>
        <v>45341</v>
      </c>
      <c r="R169" s="2" t="str">
        <f t="shared" si="2"/>
        <v>Feb</v>
      </c>
      <c r="S169" s="2" t="str">
        <f t="shared" si="3"/>
        <v>Q1</v>
      </c>
      <c r="T169" s="2">
        <f t="shared" si="4"/>
        <v>290249.79</v>
      </c>
    </row>
    <row r="170">
      <c r="A170" s="5" t="s">
        <v>514</v>
      </c>
      <c r="B170" s="5" t="s">
        <v>515</v>
      </c>
      <c r="C170" s="5" t="s">
        <v>34</v>
      </c>
      <c r="D170" s="5" t="s">
        <v>90</v>
      </c>
      <c r="E170" s="5" t="s">
        <v>104</v>
      </c>
      <c r="F170" s="5" t="s">
        <v>516</v>
      </c>
      <c r="G170" s="5">
        <v>10493.83</v>
      </c>
      <c r="H170" s="5" t="s">
        <v>26</v>
      </c>
      <c r="I170" s="5" t="s">
        <v>103</v>
      </c>
      <c r="J170" s="5" t="s">
        <v>44</v>
      </c>
      <c r="K170" s="5" t="s">
        <v>29</v>
      </c>
      <c r="L170" s="5"/>
      <c r="N170" s="2" t="str">
        <f t="shared" si="1"/>
        <v>G&amp;A</v>
      </c>
      <c r="O170" s="6">
        <f>IFERROR(__xludf.DUMMYFUNCTION("IFERROR(
  IF(LEN(TRIM(B170))=6,
    DATE(2000+VALUE(RIGHT(TRIM(B170),2)),MATCH(LEFT(TRIM(B170),3),{""Jan"",""Feb"",""Mar"",""Apr"",""May"",""Jun"",""Jul"",""Aug"",""Sep"",""Oct"",""Nov"",""Dec""},0),15),
  IF(REGEXMATCH(TRIM(B170),""^\d{2}[/-]\d{2}[/-]\d"&amp;"{4}$""),
    DATE(VALUE(RIGHT(TRIM(B170),4)),VALUE(MID(TRIM(B170),4,2)),VALUE(LEFT(TRIM(B170),2))),
  DATEVALUE(TRIM(B170)))),
""CHECK"")"),45365.0)</f>
        <v>45365</v>
      </c>
      <c r="R170" s="2" t="str">
        <f t="shared" si="2"/>
        <v>Mar</v>
      </c>
      <c r="S170" s="2" t="str">
        <f t="shared" si="3"/>
        <v>Q1</v>
      </c>
      <c r="T170" s="2">
        <f t="shared" si="4"/>
        <v>10493.83</v>
      </c>
    </row>
    <row r="171">
      <c r="A171" s="7" t="s">
        <v>517</v>
      </c>
      <c r="B171" s="7" t="s">
        <v>518</v>
      </c>
      <c r="C171" s="7" t="s">
        <v>34</v>
      </c>
      <c r="D171" s="7" t="s">
        <v>51</v>
      </c>
      <c r="E171" s="7" t="s">
        <v>50</v>
      </c>
      <c r="F171" s="7" t="s">
        <v>475</v>
      </c>
      <c r="G171" s="7">
        <v>22633.46</v>
      </c>
      <c r="H171" s="7" t="s">
        <v>26</v>
      </c>
      <c r="I171" s="7" t="s">
        <v>57</v>
      </c>
      <c r="J171" s="7" t="s">
        <v>142</v>
      </c>
      <c r="K171" s="7" t="s">
        <v>39</v>
      </c>
      <c r="L171" s="7"/>
      <c r="N171" s="2" t="str">
        <f t="shared" si="1"/>
        <v>Customer Success</v>
      </c>
      <c r="O171" s="6">
        <f>IFERROR(__xludf.DUMMYFUNCTION("IFERROR(
  IF(LEN(TRIM(B171))=6,
    DATE(2000+VALUE(RIGHT(TRIM(B171),2)),MATCH(LEFT(TRIM(B171),3),{""Jan"",""Feb"",""Mar"",""Apr"",""May"",""Jun"",""Jul"",""Aug"",""Sep"",""Oct"",""Nov"",""Dec""},0),15),
  IF(REGEXMATCH(TRIM(B171),""^\d{2}[/-]\d{2}[/-]\d"&amp;"{4}$""),
    DATE(VALUE(RIGHT(TRIM(B171),4)),VALUE(MID(TRIM(B171),4,2)),VALUE(LEFT(TRIM(B171),2))),
  DATEVALUE(TRIM(B171)))),
""CHECK"")"),45622.0)</f>
        <v>45622</v>
      </c>
      <c r="R171" s="2" t="str">
        <f t="shared" si="2"/>
        <v>Nov</v>
      </c>
      <c r="S171" s="2" t="str">
        <f t="shared" si="3"/>
        <v>Q4</v>
      </c>
      <c r="T171" s="2">
        <f t="shared" si="4"/>
        <v>22633.46</v>
      </c>
    </row>
    <row r="172">
      <c r="A172" s="5" t="s">
        <v>519</v>
      </c>
      <c r="B172" s="5" t="s">
        <v>520</v>
      </c>
      <c r="C172" s="5" t="s">
        <v>22</v>
      </c>
      <c r="D172" s="5" t="s">
        <v>23</v>
      </c>
      <c r="E172" s="5" t="s">
        <v>24</v>
      </c>
      <c r="F172" s="5" t="s">
        <v>521</v>
      </c>
      <c r="G172" s="5">
        <v>174580.7</v>
      </c>
      <c r="H172" s="5" t="s">
        <v>26</v>
      </c>
      <c r="I172" s="5" t="s">
        <v>137</v>
      </c>
      <c r="J172" s="5" t="s">
        <v>38</v>
      </c>
      <c r="K172" s="5" t="s">
        <v>39</v>
      </c>
      <c r="L172" s="5"/>
      <c r="N172" s="2" t="str">
        <f t="shared" si="1"/>
        <v>Sales</v>
      </c>
      <c r="O172" s="6">
        <f>IFERROR(__xludf.DUMMYFUNCTION("IFERROR(
  IF(LEN(TRIM(B172))=6,
    DATE(2000+VALUE(RIGHT(TRIM(B172),2)),MATCH(LEFT(TRIM(B172),3),{""Jan"",""Feb"",""Mar"",""Apr"",""May"",""Jun"",""Jul"",""Aug"",""Sep"",""Oct"",""Nov"",""Dec""},0),15),
  IF(REGEXMATCH(TRIM(B172),""^\d{2}[/-]\d{2}[/-]\d"&amp;"{4}$""),
    DATE(VALUE(RIGHT(TRIM(B172),4)),VALUE(MID(TRIM(B172),4,2)),VALUE(LEFT(TRIM(B172),2))),
  DATEVALUE(TRIM(B172)))),
""CHECK"")"),45655.0)</f>
        <v>45655</v>
      </c>
      <c r="R172" s="2" t="str">
        <f t="shared" si="2"/>
        <v>Dec</v>
      </c>
      <c r="S172" s="2" t="str">
        <f t="shared" si="3"/>
        <v>Q4</v>
      </c>
      <c r="T172" s="2">
        <f t="shared" si="4"/>
        <v>174580.7</v>
      </c>
    </row>
    <row r="173">
      <c r="A173" s="7" t="s">
        <v>522</v>
      </c>
      <c r="B173" s="7" t="s">
        <v>523</v>
      </c>
      <c r="C173" s="7" t="s">
        <v>34</v>
      </c>
      <c r="D173" s="7" t="s">
        <v>54</v>
      </c>
      <c r="E173" s="7" t="s">
        <v>55</v>
      </c>
      <c r="F173" s="7" t="s">
        <v>346</v>
      </c>
      <c r="G173" s="7">
        <v>48794.58</v>
      </c>
      <c r="H173" s="7" t="s">
        <v>26</v>
      </c>
      <c r="I173" s="7" t="s">
        <v>237</v>
      </c>
      <c r="J173" s="7" t="s">
        <v>142</v>
      </c>
      <c r="K173" s="7" t="s">
        <v>39</v>
      </c>
      <c r="L173" s="7"/>
      <c r="N173" s="2" t="str">
        <f t="shared" si="1"/>
        <v>Marketing</v>
      </c>
      <c r="O173" s="6">
        <f>IFERROR(__xludf.DUMMYFUNCTION("IFERROR(
  IF(LEN(TRIM(B173))=6,
    DATE(2000+VALUE(RIGHT(TRIM(B173),2)),MATCH(LEFT(TRIM(B173),3),{""Jan"",""Feb"",""Mar"",""Apr"",""May"",""Jun"",""Jul"",""Aug"",""Sep"",""Oct"",""Nov"",""Dec""},0),15),
  IF(REGEXMATCH(TRIM(B173),""^\d{2}[/-]\d{2}[/-]\d"&amp;"{4}$""),
    DATE(VALUE(RIGHT(TRIM(B173),4)),VALUE(MID(TRIM(B173),4,2)),VALUE(LEFT(TRIM(B173),2))),
  DATEVALUE(TRIM(B173)))),
""CHECK"")"),45614.0)</f>
        <v>45614</v>
      </c>
      <c r="R173" s="2" t="str">
        <f t="shared" si="2"/>
        <v>Nov</v>
      </c>
      <c r="S173" s="2" t="str">
        <f t="shared" si="3"/>
        <v>Q4</v>
      </c>
      <c r="T173" s="2">
        <f t="shared" si="4"/>
        <v>48794.58</v>
      </c>
    </row>
    <row r="174">
      <c r="A174" s="5" t="s">
        <v>524</v>
      </c>
      <c r="B174" s="5" t="s">
        <v>525</v>
      </c>
      <c r="C174" s="5" t="s">
        <v>34</v>
      </c>
      <c r="D174" s="5" t="s">
        <v>54</v>
      </c>
      <c r="E174" s="5" t="s">
        <v>124</v>
      </c>
      <c r="F174" s="5" t="s">
        <v>526</v>
      </c>
      <c r="G174" s="5">
        <v>24982.9</v>
      </c>
      <c r="H174" s="5" t="s">
        <v>26</v>
      </c>
      <c r="I174" s="5" t="s">
        <v>118</v>
      </c>
      <c r="J174" s="5" t="s">
        <v>142</v>
      </c>
      <c r="K174" s="5" t="s">
        <v>39</v>
      </c>
      <c r="L174" s="5"/>
      <c r="N174" s="2" t="str">
        <f t="shared" si="1"/>
        <v>Marketing</v>
      </c>
      <c r="O174" s="6">
        <f>IFERROR(__xludf.DUMMYFUNCTION("IFERROR(
  IF(LEN(TRIM(B174))=6,
    DATE(2000+VALUE(RIGHT(TRIM(B174),2)),MATCH(LEFT(TRIM(B174),3),{""Jan"",""Feb"",""Mar"",""Apr"",""May"",""Jun"",""Jul"",""Aug"",""Sep"",""Oct"",""Nov"",""Dec""},0),15),
  IF(REGEXMATCH(TRIM(B174),""^\d{2}[/-]\d{2}[/-]\d"&amp;"{4}$""),
    DATE(VALUE(RIGHT(TRIM(B174),4)),VALUE(MID(TRIM(B174),4,2)),VALUE(LEFT(TRIM(B174),2))),
  DATEVALUE(TRIM(B174)))),
""CHECK"")"),45598.0)</f>
        <v>45598</v>
      </c>
      <c r="R174" s="2" t="str">
        <f t="shared" si="2"/>
        <v>Nov</v>
      </c>
      <c r="S174" s="2" t="str">
        <f t="shared" si="3"/>
        <v>Q4</v>
      </c>
      <c r="T174" s="2">
        <f t="shared" si="4"/>
        <v>24982.9</v>
      </c>
    </row>
    <row r="175">
      <c r="A175" s="7" t="s">
        <v>527</v>
      </c>
      <c r="B175" s="7" t="s">
        <v>528</v>
      </c>
      <c r="C175" s="7" t="s">
        <v>22</v>
      </c>
      <c r="D175" s="7" t="s">
        <v>85</v>
      </c>
      <c r="E175" s="7" t="s">
        <v>24</v>
      </c>
      <c r="F175" s="7" t="s">
        <v>240</v>
      </c>
      <c r="G175" s="7">
        <v>46692.45</v>
      </c>
      <c r="H175" s="7" t="s">
        <v>26</v>
      </c>
      <c r="I175" s="7" t="s">
        <v>129</v>
      </c>
      <c r="J175" s="7" t="s">
        <v>28</v>
      </c>
      <c r="K175" s="7" t="s">
        <v>29</v>
      </c>
      <c r="L175" s="7"/>
      <c r="N175" s="2" t="str">
        <f t="shared" si="1"/>
        <v>Sales</v>
      </c>
      <c r="O175" s="6">
        <f>IFERROR(__xludf.DUMMYFUNCTION("IFERROR(
  IF(LEN(TRIM(B175))=6,
    DATE(2000+VALUE(RIGHT(TRIM(B175),2)),MATCH(LEFT(TRIM(B175),3),{""Jan"",""Feb"",""Mar"",""Apr"",""May"",""Jun"",""Jul"",""Aug"",""Sep"",""Oct"",""Nov"",""Dec""},0),15),
  IF(REGEXMATCH(TRIM(B175),""^\d{2}[/-]\d{2}[/-]\d"&amp;"{4}$""),
    DATE(VALUE(RIGHT(TRIM(B175),4)),VALUE(MID(TRIM(B175),4,2)),VALUE(LEFT(TRIM(B175),2))),
  DATEVALUE(TRIM(B175)))),
""CHECK"")"),45294.0)</f>
        <v>45294</v>
      </c>
      <c r="R175" s="2" t="str">
        <f t="shared" si="2"/>
        <v>Jan</v>
      </c>
      <c r="S175" s="2" t="str">
        <f t="shared" si="3"/>
        <v>Q1</v>
      </c>
      <c r="T175" s="2">
        <f t="shared" si="4"/>
        <v>46692.45</v>
      </c>
    </row>
    <row r="176">
      <c r="A176" s="5" t="s">
        <v>529</v>
      </c>
      <c r="B176" s="5" t="s">
        <v>464</v>
      </c>
      <c r="C176" s="5" t="s">
        <v>34</v>
      </c>
      <c r="D176" s="5" t="s">
        <v>111</v>
      </c>
      <c r="E176" s="5" t="s">
        <v>97</v>
      </c>
      <c r="F176" s="5" t="s">
        <v>530</v>
      </c>
      <c r="G176" s="5">
        <v>46071.87</v>
      </c>
      <c r="H176" s="5" t="s">
        <v>26</v>
      </c>
      <c r="I176" s="5" t="s">
        <v>103</v>
      </c>
      <c r="J176" s="5" t="s">
        <v>73</v>
      </c>
      <c r="K176" s="5" t="s">
        <v>59</v>
      </c>
      <c r="L176" s="5"/>
      <c r="N176" s="2" t="str">
        <f t="shared" si="1"/>
        <v>Sales</v>
      </c>
      <c r="O176" s="6">
        <f>IFERROR(__xludf.DUMMYFUNCTION("IFERROR(
  IF(LEN(TRIM(B176))=6,
    DATE(2000+VALUE(RIGHT(TRIM(B176),2)),MATCH(LEFT(TRIM(B176),3),{""Jan"",""Feb"",""Mar"",""Apr"",""May"",""Jun"",""Jul"",""Aug"",""Sep"",""Oct"",""Nov"",""Dec""},0),15),
  IF(REGEXMATCH(TRIM(B176),""^\d{2}[/-]\d{2}[/-]\d"&amp;"{4}$""),
    DATE(VALUE(RIGHT(TRIM(B176),4)),VALUE(MID(TRIM(B176),4,2)),VALUE(LEFT(TRIM(B176),2))),
  DATEVALUE(TRIM(B176)))),
""CHECK"")"),45553.0)</f>
        <v>45553</v>
      </c>
      <c r="R176" s="2" t="str">
        <f t="shared" si="2"/>
        <v>Sep</v>
      </c>
      <c r="S176" s="2" t="str">
        <f t="shared" si="3"/>
        <v>Q3</v>
      </c>
      <c r="T176" s="2">
        <f t="shared" si="4"/>
        <v>46071.87</v>
      </c>
    </row>
    <row r="177">
      <c r="A177" s="7" t="s">
        <v>531</v>
      </c>
      <c r="B177" s="7" t="s">
        <v>532</v>
      </c>
      <c r="C177" s="7" t="s">
        <v>22</v>
      </c>
      <c r="D177" s="7" t="s">
        <v>85</v>
      </c>
      <c r="E177" s="7" t="s">
        <v>63</v>
      </c>
      <c r="F177" s="7" t="s">
        <v>281</v>
      </c>
      <c r="G177" s="7">
        <v>28933.3</v>
      </c>
      <c r="H177" s="7" t="s">
        <v>26</v>
      </c>
      <c r="I177" s="7" t="s">
        <v>65</v>
      </c>
      <c r="J177" s="7" t="s">
        <v>58</v>
      </c>
      <c r="K177" s="7" t="s">
        <v>59</v>
      </c>
      <c r="L177" s="7"/>
      <c r="N177" s="2" t="str">
        <f t="shared" si="1"/>
        <v>Sales</v>
      </c>
      <c r="O177" s="6">
        <f>IFERROR(__xludf.DUMMYFUNCTION("IFERROR(
  IF(LEN(TRIM(B177))=6,
    DATE(2000+VALUE(RIGHT(TRIM(B177),2)),MATCH(LEFT(TRIM(B177),3),{""Jan"",""Feb"",""Mar"",""Apr"",""May"",""Jun"",""Jul"",""Aug"",""Sep"",""Oct"",""Nov"",""Dec""},0),15),
  IF(REGEXMATCH(TRIM(B177),""^\d{2}[/-]\d{2}[/-]\d"&amp;"{4}$""),
    DATE(VALUE(RIGHT(TRIM(B177),4)),VALUE(MID(TRIM(B177),4,2)),VALUE(LEFT(TRIM(B177),2))),
  DATEVALUE(TRIM(B177)))),
""CHECK"")"),45486.0)</f>
        <v>45486</v>
      </c>
      <c r="R177" s="2" t="str">
        <f t="shared" si="2"/>
        <v>Jul</v>
      </c>
      <c r="S177" s="2" t="str">
        <f t="shared" si="3"/>
        <v>Q3</v>
      </c>
      <c r="T177" s="2">
        <f t="shared" si="4"/>
        <v>28933.3</v>
      </c>
    </row>
    <row r="178">
      <c r="A178" s="5" t="s">
        <v>533</v>
      </c>
      <c r="B178" s="5" t="s">
        <v>247</v>
      </c>
      <c r="C178" s="5" t="s">
        <v>34</v>
      </c>
      <c r="D178" s="5" t="s">
        <v>51</v>
      </c>
      <c r="E178" s="5" t="s">
        <v>50</v>
      </c>
      <c r="F178" s="5" t="s">
        <v>171</v>
      </c>
      <c r="G178" s="5">
        <v>11760.15</v>
      </c>
      <c r="H178" s="5" t="s">
        <v>26</v>
      </c>
      <c r="I178" s="5" t="s">
        <v>103</v>
      </c>
      <c r="J178" s="5" t="s">
        <v>66</v>
      </c>
      <c r="K178" s="5" t="s">
        <v>67</v>
      </c>
      <c r="L178" s="5"/>
      <c r="N178" s="2" t="str">
        <f t="shared" si="1"/>
        <v>Customer Success</v>
      </c>
      <c r="O178" s="6">
        <f>IFERROR(__xludf.DUMMYFUNCTION("IFERROR(
  IF(LEN(TRIM(B178))=6,
    DATE(2000+VALUE(RIGHT(TRIM(B178),2)),MATCH(LEFT(TRIM(B178),3),{""Jan"",""Feb"",""Mar"",""Apr"",""May"",""Jun"",""Jul"",""Aug"",""Sep"",""Oct"",""Nov"",""Dec""},0),15),
  IF(REGEXMATCH(TRIM(B178),""^\d{2}[/-]\d{2}[/-]\d"&amp;"{4}$""),
    DATE(VALUE(RIGHT(TRIM(B178),4)),VALUE(MID(TRIM(B178),4,2)),VALUE(LEFT(TRIM(B178),2))),
  DATEVALUE(TRIM(B178)))),
""CHECK"")"),45397.0)</f>
        <v>45397</v>
      </c>
      <c r="R178" s="2" t="str">
        <f t="shared" si="2"/>
        <v>Apr</v>
      </c>
      <c r="S178" s="2" t="str">
        <f t="shared" si="3"/>
        <v>Q2</v>
      </c>
      <c r="T178" s="2">
        <f t="shared" si="4"/>
        <v>11760.15</v>
      </c>
    </row>
    <row r="179">
      <c r="A179" s="7" t="s">
        <v>534</v>
      </c>
      <c r="B179" s="7" t="s">
        <v>535</v>
      </c>
      <c r="C179" s="7" t="s">
        <v>22</v>
      </c>
      <c r="D179" s="7" t="s">
        <v>85</v>
      </c>
      <c r="E179" s="7" t="s">
        <v>111</v>
      </c>
      <c r="F179" s="7" t="s">
        <v>253</v>
      </c>
      <c r="G179" s="7">
        <v>17298.05</v>
      </c>
      <c r="H179" s="7" t="s">
        <v>26</v>
      </c>
      <c r="I179" s="7" t="s">
        <v>43</v>
      </c>
      <c r="J179" s="7" t="s">
        <v>49</v>
      </c>
      <c r="K179" s="7" t="s">
        <v>39</v>
      </c>
      <c r="L179" s="7"/>
      <c r="N179" s="2" t="str">
        <f t="shared" si="1"/>
        <v>Sales</v>
      </c>
      <c r="O179" s="6">
        <f>IFERROR(__xludf.DUMMYFUNCTION("IFERROR(
  IF(LEN(TRIM(B179))=6,
    DATE(2000+VALUE(RIGHT(TRIM(B179),2)),MATCH(LEFT(TRIM(B179),3),{""Jan"",""Feb"",""Mar"",""Apr"",""May"",""Jun"",""Jul"",""Aug"",""Sep"",""Oct"",""Nov"",""Dec""},0),15),
  IF(REGEXMATCH(TRIM(B179),""^\d{2}[/-]\d{2}[/-]\d"&amp;"{4}$""),
    DATE(VALUE(RIGHT(TRIM(B179),4)),VALUE(MID(TRIM(B179),4,2)),VALUE(LEFT(TRIM(B179),2))),
  DATEVALUE(TRIM(B179)))),
""CHECK"")"),45582.0)</f>
        <v>45582</v>
      </c>
      <c r="R179" s="2" t="str">
        <f t="shared" si="2"/>
        <v>Oct</v>
      </c>
      <c r="S179" s="2" t="str">
        <f t="shared" si="3"/>
        <v>Q4</v>
      </c>
      <c r="T179" s="2">
        <f t="shared" si="4"/>
        <v>17298.05</v>
      </c>
    </row>
    <row r="180">
      <c r="A180" s="5" t="s">
        <v>536</v>
      </c>
      <c r="B180" s="5" t="s">
        <v>537</v>
      </c>
      <c r="C180" s="5" t="s">
        <v>34</v>
      </c>
      <c r="D180" s="5" t="s">
        <v>54</v>
      </c>
      <c r="E180" s="5" t="s">
        <v>196</v>
      </c>
      <c r="F180" s="5" t="s">
        <v>538</v>
      </c>
      <c r="G180" s="5">
        <v>102936.49</v>
      </c>
      <c r="H180" s="5" t="s">
        <v>26</v>
      </c>
      <c r="I180" s="5" t="s">
        <v>231</v>
      </c>
      <c r="J180" s="5" t="s">
        <v>28</v>
      </c>
      <c r="K180" s="5" t="s">
        <v>29</v>
      </c>
      <c r="L180" s="5"/>
      <c r="N180" s="2" t="str">
        <f t="shared" si="1"/>
        <v>Marketing</v>
      </c>
      <c r="O180" s="6">
        <f>IFERROR(__xludf.DUMMYFUNCTION("IFERROR(
  IF(LEN(TRIM(B180))=6,
    DATE(2000+VALUE(RIGHT(TRIM(B180),2)),MATCH(LEFT(TRIM(B180),3),{""Jan"",""Feb"",""Mar"",""Apr"",""May"",""Jun"",""Jul"",""Aug"",""Sep"",""Oct"",""Nov"",""Dec""},0),15),
  IF(REGEXMATCH(TRIM(B180),""^\d{2}[/-]\d{2}[/-]\d"&amp;"{4}$""),
    DATE(VALUE(RIGHT(TRIM(B180),4)),VALUE(MID(TRIM(B180),4,2)),VALUE(LEFT(TRIM(B180),2))),
  DATEVALUE(TRIM(B180)))),
""CHECK"")"),45292.0)</f>
        <v>45292</v>
      </c>
      <c r="R180" s="2" t="str">
        <f t="shared" si="2"/>
        <v>Jan</v>
      </c>
      <c r="S180" s="2" t="str">
        <f t="shared" si="3"/>
        <v>Q1</v>
      </c>
      <c r="T180" s="2">
        <f t="shared" si="4"/>
        <v>102936.49</v>
      </c>
    </row>
    <row r="181">
      <c r="A181" s="7" t="s">
        <v>539</v>
      </c>
      <c r="B181" s="7" t="s">
        <v>540</v>
      </c>
      <c r="C181" s="7" t="s">
        <v>34</v>
      </c>
      <c r="D181" s="7" t="s">
        <v>31</v>
      </c>
      <c r="E181" s="7" t="s">
        <v>31</v>
      </c>
      <c r="F181" s="7" t="s">
        <v>353</v>
      </c>
      <c r="G181" s="7">
        <v>31787.73</v>
      </c>
      <c r="H181" s="7" t="s">
        <v>26</v>
      </c>
      <c r="I181" s="7" t="s">
        <v>206</v>
      </c>
      <c r="J181" s="7" t="s">
        <v>73</v>
      </c>
      <c r="K181" s="7" t="s">
        <v>59</v>
      </c>
      <c r="L181" s="7"/>
      <c r="N181" s="2" t="str">
        <f t="shared" si="1"/>
        <v>Cloud Infrastructure</v>
      </c>
      <c r="O181" s="6">
        <f>IFERROR(__xludf.DUMMYFUNCTION("IFERROR(
  IF(LEN(TRIM(B181))=6,
    DATE(2000+VALUE(RIGHT(TRIM(B181),2)),MATCH(LEFT(TRIM(B181),3),{""Jan"",""Feb"",""Mar"",""Apr"",""May"",""Jun"",""Jul"",""Aug"",""Sep"",""Oct"",""Nov"",""Dec""},0),15),
  IF(REGEXMATCH(TRIM(B181),""^\d{2}[/-]\d{2}[/-]\d"&amp;"{4}$""),
    DATE(VALUE(RIGHT(TRIM(B181),4)),VALUE(MID(TRIM(B181),4,2)),VALUE(LEFT(TRIM(B181),2))),
  DATEVALUE(TRIM(B181)))),
""CHECK"")"),46182.0)</f>
        <v>46182</v>
      </c>
      <c r="R181" s="2" t="str">
        <f t="shared" si="2"/>
        <v>Jun</v>
      </c>
      <c r="S181" s="2" t="str">
        <f t="shared" si="3"/>
        <v>Q2</v>
      </c>
      <c r="T181" s="2">
        <f t="shared" si="4"/>
        <v>31787.73</v>
      </c>
    </row>
    <row r="182">
      <c r="A182" s="5" t="s">
        <v>541</v>
      </c>
      <c r="B182" s="5" t="s">
        <v>542</v>
      </c>
      <c r="C182" s="5" t="s">
        <v>34</v>
      </c>
      <c r="D182" s="5" t="s">
        <v>90</v>
      </c>
      <c r="E182" s="5" t="s">
        <v>91</v>
      </c>
      <c r="F182" s="5" t="s">
        <v>174</v>
      </c>
      <c r="G182" s="5">
        <v>13044.89</v>
      </c>
      <c r="H182" s="5" t="s">
        <v>26</v>
      </c>
      <c r="I182" s="5" t="s">
        <v>118</v>
      </c>
      <c r="J182" s="5" t="s">
        <v>108</v>
      </c>
      <c r="K182" s="5" t="s">
        <v>59</v>
      </c>
      <c r="L182" s="5"/>
      <c r="N182" s="2" t="str">
        <f t="shared" si="1"/>
        <v>G&amp;A</v>
      </c>
      <c r="O182" s="6">
        <f>IFERROR(__xludf.DUMMYFUNCTION("IFERROR(
  IF(LEN(TRIM(B182))=6,
    DATE(2000+VALUE(RIGHT(TRIM(B182),2)),MATCH(LEFT(TRIM(B182),3),{""Jan"",""Feb"",""Mar"",""Apr"",""May"",""Jun"",""Jul"",""Aug"",""Sep"",""Oct"",""Nov"",""Dec""},0),15),
  IF(REGEXMATCH(TRIM(B182),""^\d{2}[/-]\d{2}[/-]\d"&amp;"{4}$""),
    DATE(VALUE(RIGHT(TRIM(B182),4)),VALUE(MID(TRIM(B182),4,2)),VALUE(LEFT(TRIM(B182),2))),
  DATEVALUE(TRIM(B182)))),
""CHECK"")"),45908.0)</f>
        <v>45908</v>
      </c>
      <c r="R182" s="2" t="str">
        <f t="shared" si="2"/>
        <v>Sep</v>
      </c>
      <c r="S182" s="2" t="str">
        <f t="shared" si="3"/>
        <v>Q3</v>
      </c>
      <c r="T182" s="2">
        <f t="shared" si="4"/>
        <v>13044.89</v>
      </c>
    </row>
    <row r="183">
      <c r="A183" s="7" t="s">
        <v>543</v>
      </c>
      <c r="B183" s="7" t="s">
        <v>544</v>
      </c>
      <c r="C183" s="7" t="s">
        <v>34</v>
      </c>
      <c r="D183" s="7" t="s">
        <v>90</v>
      </c>
      <c r="E183" s="7" t="s">
        <v>114</v>
      </c>
      <c r="F183" s="7" t="s">
        <v>545</v>
      </c>
      <c r="G183" s="7">
        <v>12564.15</v>
      </c>
      <c r="H183" s="7" t="s">
        <v>26</v>
      </c>
      <c r="I183" s="7" t="s">
        <v>48</v>
      </c>
      <c r="J183" s="7" t="s">
        <v>87</v>
      </c>
      <c r="K183" s="7" t="s">
        <v>67</v>
      </c>
      <c r="L183" s="7"/>
      <c r="N183" s="2" t="str">
        <f t="shared" si="1"/>
        <v>G&amp;A</v>
      </c>
      <c r="O183" s="6">
        <f>IFERROR(__xludf.DUMMYFUNCTION("IFERROR(
  IF(LEN(TRIM(B183))=6,
    DATE(2000+VALUE(RIGHT(TRIM(B183),2)),MATCH(LEFT(TRIM(B183),3),{""Jan"",""Feb"",""Mar"",""Apr"",""May"",""Jun"",""Jul"",""Aug"",""Sep"",""Oct"",""Nov"",""Dec""},0),15),
  IF(REGEXMATCH(TRIM(B183),""^\d{2}[/-]\d{2}[/-]\d"&amp;"{4}$""),
    DATE(VALUE(RIGHT(TRIM(B183),4)),VALUE(MID(TRIM(B183),4,2)),VALUE(LEFT(TRIM(B183),2))),
  DATEVALUE(TRIM(B183)))),
""CHECK"")"),45436.0)</f>
        <v>45436</v>
      </c>
      <c r="R183" s="2" t="str">
        <f t="shared" si="2"/>
        <v>May</v>
      </c>
      <c r="S183" s="2" t="str">
        <f t="shared" si="3"/>
        <v>Q2</v>
      </c>
      <c r="T183" s="2">
        <f t="shared" si="4"/>
        <v>12564.15</v>
      </c>
    </row>
    <row r="184">
      <c r="A184" s="5" t="s">
        <v>546</v>
      </c>
      <c r="B184" s="5" t="s">
        <v>547</v>
      </c>
      <c r="C184" s="5" t="s">
        <v>22</v>
      </c>
      <c r="D184" s="5" t="s">
        <v>85</v>
      </c>
      <c r="E184" s="5" t="s">
        <v>111</v>
      </c>
      <c r="F184" s="5" t="s">
        <v>548</v>
      </c>
      <c r="G184" s="5">
        <v>21225.92</v>
      </c>
      <c r="H184" s="5" t="s">
        <v>26</v>
      </c>
      <c r="I184" s="5" t="s">
        <v>27</v>
      </c>
      <c r="J184" s="5" t="s">
        <v>73</v>
      </c>
      <c r="K184" s="5" t="s">
        <v>59</v>
      </c>
      <c r="L184" s="5"/>
      <c r="N184" s="2" t="str">
        <f t="shared" si="1"/>
        <v>Sales</v>
      </c>
      <c r="O184" s="6">
        <f>IFERROR(__xludf.DUMMYFUNCTION("IFERROR(
  IF(LEN(TRIM(B184))=6,
    DATE(2000+VALUE(RIGHT(TRIM(B184),2)),MATCH(LEFT(TRIM(B184),3),{""Jan"",""Feb"",""Mar"",""Apr"",""May"",""Jun"",""Jul"",""Aug"",""Sep"",""Oct"",""Nov"",""Dec""},0),15),
  IF(REGEXMATCH(TRIM(B184),""^\d{2}[/-]\d{2}[/-]\d"&amp;"{4}$""),
    DATE(VALUE(RIGHT(TRIM(B184),4)),VALUE(MID(TRIM(B184),4,2)),VALUE(LEFT(TRIM(B184),2))),
  DATEVALUE(TRIM(B184)))),
""CHECK"")"),45543.0)</f>
        <v>45543</v>
      </c>
      <c r="R184" s="2" t="str">
        <f t="shared" si="2"/>
        <v>Sep</v>
      </c>
      <c r="S184" s="2" t="str">
        <f t="shared" si="3"/>
        <v>Q3</v>
      </c>
      <c r="T184" s="2">
        <f t="shared" si="4"/>
        <v>21225.92</v>
      </c>
    </row>
    <row r="185">
      <c r="A185" s="7" t="s">
        <v>549</v>
      </c>
      <c r="B185" s="7" t="s">
        <v>550</v>
      </c>
      <c r="C185" s="7" t="s">
        <v>34</v>
      </c>
      <c r="D185" s="7" t="s">
        <v>82</v>
      </c>
      <c r="E185" s="7" t="s">
        <v>82</v>
      </c>
      <c r="F185" s="7" t="s">
        <v>356</v>
      </c>
      <c r="G185" s="7">
        <v>18007.48</v>
      </c>
      <c r="H185" s="7" t="s">
        <v>26</v>
      </c>
      <c r="I185" s="7" t="s">
        <v>231</v>
      </c>
      <c r="J185" s="7" t="s">
        <v>49</v>
      </c>
      <c r="K185" s="7" t="s">
        <v>39</v>
      </c>
      <c r="L185" s="7"/>
      <c r="N185" s="2" t="str">
        <f t="shared" si="1"/>
        <v>Engineering</v>
      </c>
      <c r="O185" s="6">
        <f>IFERROR(__xludf.DUMMYFUNCTION("IFERROR(
  IF(LEN(TRIM(B185))=6,
    DATE(2000+VALUE(RIGHT(TRIM(B185),2)),MATCH(LEFT(TRIM(B185),3),{""Jan"",""Feb"",""Mar"",""Apr"",""May"",""Jun"",""Jul"",""Aug"",""Sep"",""Oct"",""Nov"",""Dec""},0),15),
  IF(REGEXMATCH(TRIM(B185),""^\d{2}[/-]\d{2}[/-]\d"&amp;"{4}$""),
    DATE(VALUE(RIGHT(TRIM(B185),4)),VALUE(MID(TRIM(B185),4,2)),VALUE(LEFT(TRIM(B185),2))),
  DATEVALUE(TRIM(B185)))),
""CHECK"")"),45577.0)</f>
        <v>45577</v>
      </c>
      <c r="R185" s="2" t="str">
        <f t="shared" si="2"/>
        <v>Oct</v>
      </c>
      <c r="S185" s="2" t="str">
        <f t="shared" si="3"/>
        <v>Q4</v>
      </c>
      <c r="T185" s="2">
        <f t="shared" si="4"/>
        <v>18007.48</v>
      </c>
    </row>
    <row r="186">
      <c r="A186" s="5" t="s">
        <v>551</v>
      </c>
      <c r="B186" s="5" t="s">
        <v>552</v>
      </c>
      <c r="C186" s="5" t="s">
        <v>22</v>
      </c>
      <c r="D186" s="5" t="s">
        <v>85</v>
      </c>
      <c r="E186" s="5" t="s">
        <v>24</v>
      </c>
      <c r="F186" s="5" t="s">
        <v>281</v>
      </c>
      <c r="G186" s="5">
        <v>18190.84</v>
      </c>
      <c r="H186" s="5" t="s">
        <v>26</v>
      </c>
      <c r="I186" s="5" t="s">
        <v>43</v>
      </c>
      <c r="J186" s="5" t="s">
        <v>44</v>
      </c>
      <c r="K186" s="5" t="s">
        <v>29</v>
      </c>
      <c r="L186" s="5"/>
      <c r="N186" s="2" t="str">
        <f t="shared" si="1"/>
        <v>Sales</v>
      </c>
      <c r="O186" s="6">
        <f>IFERROR(__xludf.DUMMYFUNCTION("IFERROR(
  IF(LEN(TRIM(B186))=6,
    DATE(2000+VALUE(RIGHT(TRIM(B186),2)),MATCH(LEFT(TRIM(B186),3),{""Jan"",""Feb"",""Mar"",""Apr"",""May"",""Jun"",""Jul"",""Aug"",""Sep"",""Oct"",""Nov"",""Dec""},0),15),
  IF(REGEXMATCH(TRIM(B186),""^\d{2}[/-]\d{2}[/-]\d"&amp;"{4}$""),
    DATE(VALUE(RIGHT(TRIM(B186),4)),VALUE(MID(TRIM(B186),4,2)),VALUE(LEFT(TRIM(B186),2))),
  DATEVALUE(TRIM(B186)))),
""CHECK"")"),45365.0)</f>
        <v>45365</v>
      </c>
      <c r="R186" s="2" t="str">
        <f t="shared" si="2"/>
        <v>Mar</v>
      </c>
      <c r="S186" s="2" t="str">
        <f t="shared" si="3"/>
        <v>Q1</v>
      </c>
      <c r="T186" s="2">
        <f t="shared" si="4"/>
        <v>18190.84</v>
      </c>
    </row>
    <row r="187">
      <c r="A187" s="7" t="s">
        <v>553</v>
      </c>
      <c r="B187" s="7" t="s">
        <v>295</v>
      </c>
      <c r="C187" s="7" t="s">
        <v>34</v>
      </c>
      <c r="D187" s="7" t="s">
        <v>82</v>
      </c>
      <c r="E187" s="7" t="s">
        <v>418</v>
      </c>
      <c r="F187" s="7" t="s">
        <v>554</v>
      </c>
      <c r="G187" s="7">
        <v>25018.52</v>
      </c>
      <c r="H187" s="7" t="s">
        <v>26</v>
      </c>
      <c r="I187" s="7" t="s">
        <v>231</v>
      </c>
      <c r="J187" s="7" t="s">
        <v>87</v>
      </c>
      <c r="K187" s="7" t="s">
        <v>67</v>
      </c>
      <c r="L187" s="7"/>
      <c r="N187" s="2" t="str">
        <f t="shared" si="1"/>
        <v>Engineering</v>
      </c>
      <c r="O187" s="6">
        <f>IFERROR(__xludf.DUMMYFUNCTION("IFERROR(
  IF(LEN(TRIM(B187))=6,
    DATE(2000+VALUE(RIGHT(TRIM(B187),2)),MATCH(LEFT(TRIM(B187),3),{""Jan"",""Feb"",""Mar"",""Apr"",""May"",""Jun"",""Jul"",""Aug"",""Sep"",""Oct"",""Nov"",""Dec""},0),15),
  IF(REGEXMATCH(TRIM(B187),""^\d{2}[/-]\d{2}[/-]\d"&amp;"{4}$""),
    DATE(VALUE(RIGHT(TRIM(B187),4)),VALUE(MID(TRIM(B187),4,2)),VALUE(LEFT(TRIM(B187),2))),
  DATEVALUE(TRIM(B187)))),
""CHECK"")"),45427.0)</f>
        <v>45427</v>
      </c>
      <c r="R187" s="2" t="str">
        <f t="shared" si="2"/>
        <v>May</v>
      </c>
      <c r="S187" s="2" t="str">
        <f t="shared" si="3"/>
        <v>Q2</v>
      </c>
      <c r="T187" s="2">
        <f t="shared" si="4"/>
        <v>25018.52</v>
      </c>
    </row>
    <row r="188">
      <c r="A188" s="5" t="s">
        <v>555</v>
      </c>
      <c r="B188" s="5" t="s">
        <v>470</v>
      </c>
      <c r="C188" s="5" t="s">
        <v>22</v>
      </c>
      <c r="D188" s="5" t="s">
        <v>62</v>
      </c>
      <c r="E188" s="5" t="s">
        <v>111</v>
      </c>
      <c r="F188" s="5" t="s">
        <v>212</v>
      </c>
      <c r="G188" s="5">
        <v>6757.14</v>
      </c>
      <c r="H188" s="5" t="s">
        <v>26</v>
      </c>
      <c r="I188" s="5" t="s">
        <v>137</v>
      </c>
      <c r="J188" s="5" t="s">
        <v>108</v>
      </c>
      <c r="K188" s="5" t="s">
        <v>59</v>
      </c>
      <c r="L188" s="5"/>
      <c r="N188" s="2" t="str">
        <f t="shared" si="1"/>
        <v>Sales</v>
      </c>
      <c r="O188" s="6">
        <f>IFERROR(__xludf.DUMMYFUNCTION("IFERROR(
  IF(LEN(TRIM(B188))=6,
    DATE(2000+VALUE(RIGHT(TRIM(B188),2)),MATCH(LEFT(TRIM(B188),3),{""Jan"",""Feb"",""Mar"",""Apr"",""May"",""Jun"",""Jul"",""Aug"",""Sep"",""Oct"",""Nov"",""Dec""},0),15),
  IF(REGEXMATCH(TRIM(B188),""^\d{2}[/-]\d{2}[/-]\d"&amp;"{4}$""),
    DATE(VALUE(RIGHT(TRIM(B188),4)),VALUE(MID(TRIM(B188),4,2)),VALUE(LEFT(TRIM(B188),2))),
  DATEVALUE(TRIM(B188)))),
""CHECK"")"),45517.0)</f>
        <v>45517</v>
      </c>
      <c r="R188" s="2" t="str">
        <f t="shared" si="2"/>
        <v>Aug</v>
      </c>
      <c r="S188" s="2" t="str">
        <f t="shared" si="3"/>
        <v>Q3</v>
      </c>
      <c r="T188" s="2">
        <f t="shared" si="4"/>
        <v>6757.14</v>
      </c>
    </row>
    <row r="189">
      <c r="A189" s="7" t="s">
        <v>556</v>
      </c>
      <c r="B189" s="7" t="s">
        <v>557</v>
      </c>
      <c r="C189" s="7" t="s">
        <v>34</v>
      </c>
      <c r="D189" s="7" t="s">
        <v>31</v>
      </c>
      <c r="E189" s="7" t="s">
        <v>145</v>
      </c>
      <c r="F189" s="7" t="s">
        <v>102</v>
      </c>
      <c r="G189" s="7">
        <v>13984.49</v>
      </c>
      <c r="H189" s="7" t="s">
        <v>79</v>
      </c>
      <c r="I189" s="7" t="s">
        <v>103</v>
      </c>
      <c r="J189" s="7" t="s">
        <v>58</v>
      </c>
      <c r="K189" s="7" t="s">
        <v>59</v>
      </c>
      <c r="L189" s="7"/>
      <c r="N189" s="2" t="str">
        <f t="shared" si="1"/>
        <v>Cloud Infrastructure</v>
      </c>
      <c r="O189" s="6">
        <f>IFERROR(__xludf.DUMMYFUNCTION("IFERROR(
  IF(LEN(TRIM(B189))=6,
    DATE(2000+VALUE(RIGHT(TRIM(B189),2)),MATCH(LEFT(TRIM(B189),3),{""Jan"",""Feb"",""Mar"",""Apr"",""May"",""Jun"",""Jul"",""Aug"",""Sep"",""Oct"",""Nov"",""Dec""},0),15),
  IF(REGEXMATCH(TRIM(B189),""^\d{2}[/-]\d{2}[/-]\d"&amp;"{4}$""),
    DATE(VALUE(RIGHT(TRIM(B189),4)),VALUE(MID(TRIM(B189),4,2)),VALUE(LEFT(TRIM(B189),2))),
  DATEVALUE(TRIM(B189)))),
""CHECK"")"),45496.0)</f>
        <v>45496</v>
      </c>
      <c r="R189" s="2" t="str">
        <f t="shared" si="2"/>
        <v>Jul</v>
      </c>
      <c r="S189" s="2" t="str">
        <f t="shared" si="3"/>
        <v>Q3</v>
      </c>
      <c r="T189" s="2">
        <f t="shared" si="4"/>
        <v>17760.3023</v>
      </c>
    </row>
    <row r="190">
      <c r="A190" s="5" t="s">
        <v>558</v>
      </c>
      <c r="B190" s="5" t="s">
        <v>559</v>
      </c>
      <c r="C190" s="5" t="s">
        <v>22</v>
      </c>
      <c r="D190" s="5" t="s">
        <v>85</v>
      </c>
      <c r="E190" s="5" t="s">
        <v>63</v>
      </c>
      <c r="F190" s="5" t="s">
        <v>250</v>
      </c>
      <c r="G190" s="5">
        <v>18492.19</v>
      </c>
      <c r="H190" s="5" t="s">
        <v>26</v>
      </c>
      <c r="I190" s="5" t="s">
        <v>65</v>
      </c>
      <c r="J190" s="5" t="s">
        <v>38</v>
      </c>
      <c r="K190" s="5" t="s">
        <v>39</v>
      </c>
      <c r="L190" s="5"/>
      <c r="N190" s="2" t="str">
        <f t="shared" si="1"/>
        <v>Sales</v>
      </c>
      <c r="O190" s="6">
        <f>IFERROR(__xludf.DUMMYFUNCTION("IFERROR(
  IF(LEN(TRIM(B190))=6,
    DATE(2000+VALUE(RIGHT(TRIM(B190),2)),MATCH(LEFT(TRIM(B190),3),{""Jan"",""Feb"",""Mar"",""Apr"",""May"",""Jun"",""Jul"",""Aug"",""Sep"",""Oct"",""Nov"",""Dec""},0),15),
  IF(REGEXMATCH(TRIM(B190),""^\d{2}[/-]\d{2}[/-]\d"&amp;"{4}$""),
    DATE(VALUE(RIGHT(TRIM(B190),4)),VALUE(MID(TRIM(B190),4,2)),VALUE(LEFT(TRIM(B190),2))),
  DATEVALUE(TRIM(B190)))),
""CHECK"")"),45637.0)</f>
        <v>45637</v>
      </c>
      <c r="R190" s="2" t="str">
        <f t="shared" si="2"/>
        <v>Dec</v>
      </c>
      <c r="S190" s="2" t="str">
        <f t="shared" si="3"/>
        <v>Q4</v>
      </c>
      <c r="T190" s="2">
        <f t="shared" si="4"/>
        <v>18492.19</v>
      </c>
    </row>
    <row r="191">
      <c r="A191" s="7" t="s">
        <v>560</v>
      </c>
      <c r="B191" s="7" t="s">
        <v>561</v>
      </c>
      <c r="C191" s="7" t="s">
        <v>22</v>
      </c>
      <c r="D191" s="7" t="s">
        <v>85</v>
      </c>
      <c r="E191" s="7" t="s">
        <v>63</v>
      </c>
      <c r="F191" s="7" t="s">
        <v>494</v>
      </c>
      <c r="G191" s="7">
        <v>26965.24</v>
      </c>
      <c r="H191" s="7" t="s">
        <v>26</v>
      </c>
      <c r="I191" s="7" t="s">
        <v>213</v>
      </c>
      <c r="J191" s="7" t="s">
        <v>28</v>
      </c>
      <c r="K191" s="7" t="s">
        <v>29</v>
      </c>
      <c r="L191" s="7"/>
      <c r="N191" s="2" t="str">
        <f t="shared" si="1"/>
        <v>Sales</v>
      </c>
      <c r="O191" s="6">
        <f>IFERROR(__xludf.DUMMYFUNCTION("IFERROR(
  IF(LEN(TRIM(B191))=6,
    DATE(2000+VALUE(RIGHT(TRIM(B191),2)),MATCH(LEFT(TRIM(B191),3),{""Jan"",""Feb"",""Mar"",""Apr"",""May"",""Jun"",""Jul"",""Aug"",""Sep"",""Oct"",""Nov"",""Dec""},0),15),
  IF(REGEXMATCH(TRIM(B191),""^\d{2}[/-]\d{2}[/-]\d"&amp;"{4}$""),
    DATE(VALUE(RIGHT(TRIM(B191),4)),VALUE(MID(TRIM(B191),4,2)),VALUE(LEFT(TRIM(B191),2))),
  DATEVALUE(TRIM(B191)))),
""CHECK"")"),45301.0)</f>
        <v>45301</v>
      </c>
      <c r="R191" s="2" t="str">
        <f t="shared" si="2"/>
        <v>Jan</v>
      </c>
      <c r="S191" s="2" t="str">
        <f t="shared" si="3"/>
        <v>Q1</v>
      </c>
      <c r="T191" s="2">
        <f t="shared" si="4"/>
        <v>26965.24</v>
      </c>
    </row>
    <row r="192">
      <c r="A192" s="5" t="s">
        <v>562</v>
      </c>
      <c r="B192" s="5" t="s">
        <v>457</v>
      </c>
      <c r="C192" s="5" t="s">
        <v>34</v>
      </c>
      <c r="D192" s="5" t="s">
        <v>51</v>
      </c>
      <c r="E192" s="5" t="s">
        <v>68</v>
      </c>
      <c r="F192" s="5" t="s">
        <v>563</v>
      </c>
      <c r="G192" s="5">
        <v>12441.35</v>
      </c>
      <c r="H192" s="5" t="s">
        <v>26</v>
      </c>
      <c r="I192" s="5" t="s">
        <v>141</v>
      </c>
      <c r="J192" s="5" t="s">
        <v>58</v>
      </c>
      <c r="K192" s="5" t="s">
        <v>59</v>
      </c>
      <c r="L192" s="5"/>
      <c r="N192" s="2" t="str">
        <f t="shared" si="1"/>
        <v>Customer Success</v>
      </c>
      <c r="O192" s="6">
        <f>IFERROR(__xludf.DUMMYFUNCTION("IFERROR(
  IF(LEN(TRIM(B192))=6,
    DATE(2000+VALUE(RIGHT(TRIM(B192),2)),MATCH(LEFT(TRIM(B192),3),{""Jan"",""Feb"",""Mar"",""Apr"",""May"",""Jun"",""Jul"",""Aug"",""Sep"",""Oct"",""Nov"",""Dec""},0),15),
  IF(REGEXMATCH(TRIM(B192),""^\d{2}[/-]\d{2}[/-]\d"&amp;"{4}$""),
    DATE(VALUE(RIGHT(TRIM(B192),4)),VALUE(MID(TRIM(B192),4,2)),VALUE(LEFT(TRIM(B192),2))),
  DATEVALUE(TRIM(B192)))),
""CHECK"")"),45501.0)</f>
        <v>45501</v>
      </c>
      <c r="R192" s="2" t="str">
        <f t="shared" si="2"/>
        <v>Jul</v>
      </c>
      <c r="S192" s="2" t="str">
        <f t="shared" si="3"/>
        <v>Q3</v>
      </c>
      <c r="T192" s="2">
        <f t="shared" si="4"/>
        <v>12441.35</v>
      </c>
    </row>
    <row r="193">
      <c r="A193" s="7" t="s">
        <v>564</v>
      </c>
      <c r="B193" s="7" t="s">
        <v>565</v>
      </c>
      <c r="C193" s="7" t="s">
        <v>22</v>
      </c>
      <c r="D193" s="7" t="s">
        <v>85</v>
      </c>
      <c r="E193" s="7" t="s">
        <v>97</v>
      </c>
      <c r="F193" s="7" t="s">
        <v>253</v>
      </c>
      <c r="G193" s="7">
        <v>11786.08</v>
      </c>
      <c r="H193" s="7" t="s">
        <v>26</v>
      </c>
      <c r="I193" s="7" t="s">
        <v>213</v>
      </c>
      <c r="J193" s="7" t="s">
        <v>28</v>
      </c>
      <c r="K193" s="7" t="s">
        <v>29</v>
      </c>
      <c r="L193" s="7"/>
      <c r="N193" s="2" t="str">
        <f t="shared" si="1"/>
        <v>Sales</v>
      </c>
      <c r="O193" s="6">
        <f>IFERROR(__xludf.DUMMYFUNCTION("IFERROR(
  IF(LEN(TRIM(B193))=6,
    DATE(2000+VALUE(RIGHT(TRIM(B193),2)),MATCH(LEFT(TRIM(B193),3),{""Jan"",""Feb"",""Mar"",""Apr"",""May"",""Jun"",""Jul"",""Aug"",""Sep"",""Oct"",""Nov"",""Dec""},0),15),
  IF(REGEXMATCH(TRIM(B193),""^\d{2}[/-]\d{2}[/-]\d"&amp;"{4}$""),
    DATE(VALUE(RIGHT(TRIM(B193),4)),VALUE(MID(TRIM(B193),4,2)),VALUE(LEFT(TRIM(B193),2))),
  DATEVALUE(TRIM(B193)))),
""CHECK"")"),45306.0)</f>
        <v>45306</v>
      </c>
      <c r="R193" s="2" t="str">
        <f t="shared" si="2"/>
        <v>Jan</v>
      </c>
      <c r="S193" s="2" t="str">
        <f t="shared" si="3"/>
        <v>Q1</v>
      </c>
      <c r="T193" s="2">
        <f t="shared" si="4"/>
        <v>11786.08</v>
      </c>
    </row>
    <row r="194">
      <c r="A194" s="5" t="s">
        <v>566</v>
      </c>
      <c r="B194" s="5" t="s">
        <v>567</v>
      </c>
      <c r="C194" s="5" t="s">
        <v>34</v>
      </c>
      <c r="D194" s="5" t="s">
        <v>111</v>
      </c>
      <c r="E194" s="5" t="s">
        <v>97</v>
      </c>
      <c r="F194" s="5" t="s">
        <v>492</v>
      </c>
      <c r="G194" s="5">
        <v>24337.06</v>
      </c>
      <c r="H194" s="5" t="s">
        <v>26</v>
      </c>
      <c r="I194" s="5" t="s">
        <v>37</v>
      </c>
      <c r="J194" s="5" t="s">
        <v>28</v>
      </c>
      <c r="K194" s="5" t="s">
        <v>29</v>
      </c>
      <c r="L194" s="5"/>
      <c r="N194" s="2" t="str">
        <f t="shared" si="1"/>
        <v>Sales</v>
      </c>
      <c r="O194" s="6">
        <f>IFERROR(__xludf.DUMMYFUNCTION("IFERROR(
  IF(LEN(TRIM(B194))=6,
    DATE(2000+VALUE(RIGHT(TRIM(B194),2)),MATCH(LEFT(TRIM(B194),3),{""Jan"",""Feb"",""Mar"",""Apr"",""May"",""Jun"",""Jul"",""Aug"",""Sep"",""Oct"",""Nov"",""Dec""},0),15),
  IF(REGEXMATCH(TRIM(B194),""^\d{2}[/-]\d{2}[/-]\d"&amp;"{4}$""),
    DATE(VALUE(RIGHT(TRIM(B194),4)),VALUE(MID(TRIM(B194),4,2)),VALUE(LEFT(TRIM(B194),2))),
  DATEVALUE(TRIM(B194)))),
""CHECK"")"),45316.0)</f>
        <v>45316</v>
      </c>
      <c r="R194" s="2" t="str">
        <f t="shared" si="2"/>
        <v>Jan</v>
      </c>
      <c r="S194" s="2" t="str">
        <f t="shared" si="3"/>
        <v>Q1</v>
      </c>
      <c r="T194" s="2">
        <f t="shared" si="4"/>
        <v>24337.06</v>
      </c>
    </row>
    <row r="195">
      <c r="A195" s="7" t="s">
        <v>568</v>
      </c>
      <c r="B195" s="7" t="s">
        <v>569</v>
      </c>
      <c r="C195" s="7" t="s">
        <v>34</v>
      </c>
      <c r="D195" s="7" t="s">
        <v>31</v>
      </c>
      <c r="E195" s="7" t="s">
        <v>77</v>
      </c>
      <c r="F195" s="7" t="s">
        <v>570</v>
      </c>
      <c r="G195" s="7">
        <v>21024.62</v>
      </c>
      <c r="H195" s="7" t="s">
        <v>26</v>
      </c>
      <c r="I195" s="7" t="s">
        <v>206</v>
      </c>
      <c r="J195" s="7" t="s">
        <v>44</v>
      </c>
      <c r="K195" s="7" t="s">
        <v>29</v>
      </c>
      <c r="L195" s="7"/>
      <c r="N195" s="2" t="str">
        <f t="shared" si="1"/>
        <v>Cloud Infrastructure</v>
      </c>
      <c r="O195" s="6">
        <f>IFERROR(__xludf.DUMMYFUNCTION("IFERROR(
  IF(LEN(TRIM(B195))=6,
    DATE(2000+VALUE(RIGHT(TRIM(B195),2)),MATCH(LEFT(TRIM(B195),3),{""Jan"",""Feb"",""Mar"",""Apr"",""May"",""Jun"",""Jul"",""Aug"",""Sep"",""Oct"",""Nov"",""Dec""},0),15),
  IF(REGEXMATCH(TRIM(B195),""^\d{2}[/-]\d{2}[/-]\d"&amp;"{4}$""),
    DATE(VALUE(RIGHT(TRIM(B195),4)),VALUE(MID(TRIM(B195),4,2)),VALUE(LEFT(TRIM(B195),2))),
  DATEVALUE(TRIM(B195)))),
""CHECK"")"),45375.0)</f>
        <v>45375</v>
      </c>
      <c r="R195" s="2" t="str">
        <f t="shared" si="2"/>
        <v>Mar</v>
      </c>
      <c r="S195" s="2" t="str">
        <f t="shared" si="3"/>
        <v>Q1</v>
      </c>
      <c r="T195" s="2">
        <f t="shared" si="4"/>
        <v>21024.62</v>
      </c>
    </row>
    <row r="196">
      <c r="A196" s="5" t="s">
        <v>571</v>
      </c>
      <c r="B196" s="5" t="s">
        <v>572</v>
      </c>
      <c r="C196" s="5" t="s">
        <v>22</v>
      </c>
      <c r="D196" s="5" t="s">
        <v>23</v>
      </c>
      <c r="E196" s="5" t="s">
        <v>63</v>
      </c>
      <c r="F196" s="5" t="s">
        <v>42</v>
      </c>
      <c r="G196" s="5">
        <v>184909.58</v>
      </c>
      <c r="H196" s="5" t="s">
        <v>26</v>
      </c>
      <c r="I196" s="5" t="s">
        <v>134</v>
      </c>
      <c r="J196" s="5" t="s">
        <v>126</v>
      </c>
      <c r="K196" s="5" t="s">
        <v>29</v>
      </c>
      <c r="L196" s="5"/>
      <c r="N196" s="2" t="str">
        <f t="shared" si="1"/>
        <v>Sales</v>
      </c>
      <c r="O196" s="6">
        <f>IFERROR(__xludf.DUMMYFUNCTION("IFERROR(
  IF(LEN(TRIM(B196))=6,
    DATE(2000+VALUE(RIGHT(TRIM(B196),2)),MATCH(LEFT(TRIM(B196),3),{""Jan"",""Feb"",""Mar"",""Apr"",""May"",""Jun"",""Jul"",""Aug"",""Sep"",""Oct"",""Nov"",""Dec""},0),15),
  IF(REGEXMATCH(TRIM(B196),""^\d{2}[/-]\d{2}[/-]\d"&amp;"{4}$""),
    DATE(VALUE(RIGHT(TRIM(B196),4)),VALUE(MID(TRIM(B196),4,2)),VALUE(LEFT(TRIM(B196),2))),
  DATEVALUE(TRIM(B196)))),
""CHECK"")"),45324.0)</f>
        <v>45324</v>
      </c>
      <c r="R196" s="2" t="str">
        <f t="shared" si="2"/>
        <v>Feb</v>
      </c>
      <c r="S196" s="2" t="str">
        <f t="shared" si="3"/>
        <v>Q1</v>
      </c>
      <c r="T196" s="2">
        <f t="shared" si="4"/>
        <v>184909.58</v>
      </c>
    </row>
    <row r="197">
      <c r="A197" s="7" t="s">
        <v>573</v>
      </c>
      <c r="B197" s="7" t="s">
        <v>574</v>
      </c>
      <c r="C197" s="7" t="s">
        <v>34</v>
      </c>
      <c r="D197" s="7" t="s">
        <v>54</v>
      </c>
      <c r="E197" s="7" t="s">
        <v>196</v>
      </c>
      <c r="F197" s="7" t="s">
        <v>230</v>
      </c>
      <c r="G197" s="7">
        <v>23331.38</v>
      </c>
      <c r="H197" s="7" t="s">
        <v>26</v>
      </c>
      <c r="I197" s="7" t="s">
        <v>231</v>
      </c>
      <c r="J197" s="7" t="s">
        <v>126</v>
      </c>
      <c r="K197" s="7" t="s">
        <v>29</v>
      </c>
      <c r="L197" s="7"/>
      <c r="N197" s="2" t="str">
        <f t="shared" si="1"/>
        <v>Marketing</v>
      </c>
      <c r="O197" s="6">
        <f>IFERROR(__xludf.DUMMYFUNCTION("IFERROR(
  IF(LEN(TRIM(B197))=6,
    DATE(2000+VALUE(RIGHT(TRIM(B197),2)),MATCH(LEFT(TRIM(B197),3),{""Jan"",""Feb"",""Mar"",""Apr"",""May"",""Jun"",""Jul"",""Aug"",""Sep"",""Oct"",""Nov"",""Dec""},0),15),
  IF(REGEXMATCH(TRIM(B197),""^\d{2}[/-]\d{2}[/-]\d"&amp;"{4}$""),
    DATE(VALUE(RIGHT(TRIM(B197),4)),VALUE(MID(TRIM(B197),4,2)),VALUE(LEFT(TRIM(B197),2))),
  DATEVALUE(TRIM(B197)))),
""CHECK"")"),45344.0)</f>
        <v>45344</v>
      </c>
      <c r="R197" s="2" t="str">
        <f t="shared" si="2"/>
        <v>Feb</v>
      </c>
      <c r="S197" s="2" t="str">
        <f t="shared" si="3"/>
        <v>Q1</v>
      </c>
      <c r="T197" s="2">
        <f t="shared" si="4"/>
        <v>23331.38</v>
      </c>
    </row>
    <row r="198">
      <c r="A198" s="5" t="s">
        <v>575</v>
      </c>
      <c r="B198" s="5" t="s">
        <v>295</v>
      </c>
      <c r="C198" s="5" t="s">
        <v>22</v>
      </c>
      <c r="D198" s="5" t="s">
        <v>62</v>
      </c>
      <c r="E198" s="5" t="s">
        <v>63</v>
      </c>
      <c r="F198" s="5" t="s">
        <v>370</v>
      </c>
      <c r="G198" s="5">
        <v>9652.61</v>
      </c>
      <c r="H198" s="5" t="s">
        <v>26</v>
      </c>
      <c r="I198" s="5" t="s">
        <v>137</v>
      </c>
      <c r="J198" s="5" t="s">
        <v>87</v>
      </c>
      <c r="K198" s="5" t="s">
        <v>67</v>
      </c>
      <c r="L198" s="5"/>
      <c r="N198" s="2" t="str">
        <f t="shared" si="1"/>
        <v>Sales</v>
      </c>
      <c r="O198" s="6">
        <f>IFERROR(__xludf.DUMMYFUNCTION("IFERROR(
  IF(LEN(TRIM(B198))=6,
    DATE(2000+VALUE(RIGHT(TRIM(B198),2)),MATCH(LEFT(TRIM(B198),3),{""Jan"",""Feb"",""Mar"",""Apr"",""May"",""Jun"",""Jul"",""Aug"",""Sep"",""Oct"",""Nov"",""Dec""},0),15),
  IF(REGEXMATCH(TRIM(B198),""^\d{2}[/-]\d{2}[/-]\d"&amp;"{4}$""),
    DATE(VALUE(RIGHT(TRIM(B198),4)),VALUE(MID(TRIM(B198),4,2)),VALUE(LEFT(TRIM(B198),2))),
  DATEVALUE(TRIM(B198)))),
""CHECK"")"),45427.0)</f>
        <v>45427</v>
      </c>
      <c r="R198" s="2" t="str">
        <f t="shared" si="2"/>
        <v>May</v>
      </c>
      <c r="S198" s="2" t="str">
        <f t="shared" si="3"/>
        <v>Q2</v>
      </c>
      <c r="T198" s="2">
        <f t="shared" si="4"/>
        <v>9652.61</v>
      </c>
    </row>
    <row r="199">
      <c r="A199" s="7" t="s">
        <v>576</v>
      </c>
      <c r="B199" s="7" t="s">
        <v>160</v>
      </c>
      <c r="C199" s="7" t="s">
        <v>34</v>
      </c>
      <c r="D199" s="7" t="s">
        <v>51</v>
      </c>
      <c r="E199" s="7" t="s">
        <v>51</v>
      </c>
      <c r="F199" s="7" t="s">
        <v>511</v>
      </c>
      <c r="G199" s="7">
        <v>24941.76</v>
      </c>
      <c r="H199" s="7" t="s">
        <v>26</v>
      </c>
      <c r="I199" s="7" t="s">
        <v>394</v>
      </c>
      <c r="J199" s="7" t="s">
        <v>87</v>
      </c>
      <c r="K199" s="7" t="s">
        <v>67</v>
      </c>
      <c r="L199" s="7"/>
      <c r="N199" s="2" t="str">
        <f t="shared" si="1"/>
        <v>Customer Success</v>
      </c>
      <c r="O199" s="6">
        <f>IFERROR(__xludf.DUMMYFUNCTION("IFERROR(
  IF(LEN(TRIM(B199))=6,
    DATE(2000+VALUE(RIGHT(TRIM(B199),2)),MATCH(LEFT(TRIM(B199),3),{""Jan"",""Feb"",""Mar"",""Apr"",""May"",""Jun"",""Jul"",""Aug"",""Sep"",""Oct"",""Nov"",""Dec""},0),15),
  IF(REGEXMATCH(TRIM(B199),""^\d{2}[/-]\d{2}[/-]\d"&amp;"{4}$""),
    DATE(VALUE(RIGHT(TRIM(B199),4)),VALUE(MID(TRIM(B199),4,2)),VALUE(LEFT(TRIM(B199),2))),
  DATEVALUE(TRIM(B199)))),
""CHECK"")"),45434.0)</f>
        <v>45434</v>
      </c>
      <c r="R199" s="2" t="str">
        <f t="shared" si="2"/>
        <v>May</v>
      </c>
      <c r="S199" s="2" t="str">
        <f t="shared" si="3"/>
        <v>Q2</v>
      </c>
      <c r="T199" s="2">
        <f t="shared" si="4"/>
        <v>24941.76</v>
      </c>
    </row>
    <row r="200">
      <c r="A200" s="5" t="s">
        <v>577</v>
      </c>
      <c r="B200" s="5" t="s">
        <v>578</v>
      </c>
      <c r="C200" s="5" t="s">
        <v>22</v>
      </c>
      <c r="D200" s="5" t="s">
        <v>85</v>
      </c>
      <c r="E200" s="5" t="s">
        <v>97</v>
      </c>
      <c r="F200" s="5" t="s">
        <v>281</v>
      </c>
      <c r="G200" s="5">
        <v>19462.11</v>
      </c>
      <c r="H200" s="5" t="s">
        <v>26</v>
      </c>
      <c r="I200" s="5" t="s">
        <v>134</v>
      </c>
      <c r="J200" s="5" t="s">
        <v>87</v>
      </c>
      <c r="K200" s="5" t="s">
        <v>67</v>
      </c>
      <c r="L200" s="5"/>
      <c r="N200" s="2" t="str">
        <f t="shared" si="1"/>
        <v>Sales</v>
      </c>
      <c r="O200" s="6">
        <f>IFERROR(__xludf.DUMMYFUNCTION("IFERROR(
  IF(LEN(TRIM(B200))=6,
    DATE(2000+VALUE(RIGHT(TRIM(B200),2)),MATCH(LEFT(TRIM(B200),3),{""Jan"",""Feb"",""Mar"",""Apr"",""May"",""Jun"",""Jul"",""Aug"",""Sep"",""Oct"",""Nov"",""Dec""},0),15),
  IF(REGEXMATCH(TRIM(B200),""^\d{2}[/-]\d{2}[/-]\d"&amp;"{4}$""),
    DATE(VALUE(RIGHT(TRIM(B200),4)),VALUE(MID(TRIM(B200),4,2)),VALUE(LEFT(TRIM(B200),2))),
  DATEVALUE(TRIM(B200)))),
""CHECK"")"),45415.0)</f>
        <v>45415</v>
      </c>
      <c r="R200" s="2" t="str">
        <f t="shared" si="2"/>
        <v>May</v>
      </c>
      <c r="S200" s="2" t="str">
        <f t="shared" si="3"/>
        <v>Q2</v>
      </c>
      <c r="T200" s="2">
        <f t="shared" si="4"/>
        <v>19462.11</v>
      </c>
    </row>
    <row r="201">
      <c r="A201" s="7" t="s">
        <v>579</v>
      </c>
      <c r="B201" s="7" t="s">
        <v>580</v>
      </c>
      <c r="C201" s="7" t="s">
        <v>34</v>
      </c>
      <c r="D201" s="7" t="s">
        <v>82</v>
      </c>
      <c r="E201" s="7" t="s">
        <v>99</v>
      </c>
      <c r="F201" s="7" t="s">
        <v>346</v>
      </c>
      <c r="G201" s="7">
        <v>32104.56</v>
      </c>
      <c r="H201" s="7" t="s">
        <v>26</v>
      </c>
      <c r="I201" s="7" t="s">
        <v>237</v>
      </c>
      <c r="J201" s="7" t="s">
        <v>66</v>
      </c>
      <c r="K201" s="7" t="s">
        <v>67</v>
      </c>
      <c r="L201" s="7"/>
      <c r="N201" s="2" t="str">
        <f t="shared" si="1"/>
        <v>Engineering</v>
      </c>
      <c r="O201" s="6">
        <f>IFERROR(__xludf.DUMMYFUNCTION("IFERROR(
  IF(LEN(TRIM(B201))=6,
    DATE(2000+VALUE(RIGHT(TRIM(B201),2)),MATCH(LEFT(TRIM(B201),3),{""Jan"",""Feb"",""Mar"",""Apr"",""May"",""Jun"",""Jul"",""Aug"",""Sep"",""Oct"",""Nov"",""Dec""},0),15),
  IF(REGEXMATCH(TRIM(B201),""^\d{2}[/-]\d{2}[/-]\d"&amp;"{4}$""),
    DATE(VALUE(RIGHT(TRIM(B201),4)),VALUE(MID(TRIM(B201),4,2)),VALUE(LEFT(TRIM(B201),2))),
  DATEVALUE(TRIM(B201)))),
""CHECK"")"),45392.0)</f>
        <v>45392</v>
      </c>
      <c r="R201" s="2" t="str">
        <f t="shared" si="2"/>
        <v>Apr</v>
      </c>
      <c r="S201" s="2" t="str">
        <f t="shared" si="3"/>
        <v>Q2</v>
      </c>
      <c r="T201" s="2">
        <f t="shared" si="4"/>
        <v>32104.56</v>
      </c>
    </row>
    <row r="202">
      <c r="A202" s="5" t="s">
        <v>581</v>
      </c>
      <c r="B202" s="5" t="s">
        <v>582</v>
      </c>
      <c r="C202" s="5" t="s">
        <v>22</v>
      </c>
      <c r="D202" s="5" t="s">
        <v>23</v>
      </c>
      <c r="E202" s="5" t="s">
        <v>111</v>
      </c>
      <c r="F202" s="5" t="s">
        <v>245</v>
      </c>
      <c r="G202" s="5">
        <v>419050.65</v>
      </c>
      <c r="H202" s="5" t="s">
        <v>26</v>
      </c>
      <c r="I202" s="5" t="s">
        <v>134</v>
      </c>
      <c r="J202" s="5" t="s">
        <v>66</v>
      </c>
      <c r="K202" s="5" t="s">
        <v>67</v>
      </c>
      <c r="L202" s="5"/>
      <c r="N202" s="2" t="str">
        <f t="shared" si="1"/>
        <v>Sales</v>
      </c>
      <c r="O202" s="6">
        <f>IFERROR(__xludf.DUMMYFUNCTION("IFERROR(
  IF(LEN(TRIM(B202))=6,
    DATE(2000+VALUE(RIGHT(TRIM(B202),2)),MATCH(LEFT(TRIM(B202),3),{""Jan"",""Feb"",""Mar"",""Apr"",""May"",""Jun"",""Jul"",""Aug"",""Sep"",""Oct"",""Nov"",""Dec""},0),15),
  IF(REGEXMATCH(TRIM(B202),""^\d{2}[/-]\d{2}[/-]\d"&amp;"{4}$""),
    DATE(VALUE(RIGHT(TRIM(B202),4)),VALUE(MID(TRIM(B202),4,2)),VALUE(LEFT(TRIM(B202),2))),
  DATEVALUE(TRIM(B202)))),
""CHECK"")"),45391.0)</f>
        <v>45391</v>
      </c>
      <c r="R202" s="2" t="str">
        <f t="shared" si="2"/>
        <v>Apr</v>
      </c>
      <c r="S202" s="2" t="str">
        <f t="shared" si="3"/>
        <v>Q2</v>
      </c>
      <c r="T202" s="2">
        <f t="shared" si="4"/>
        <v>419050.65</v>
      </c>
    </row>
    <row r="203">
      <c r="A203" s="7" t="s">
        <v>583</v>
      </c>
      <c r="B203" s="7" t="s">
        <v>584</v>
      </c>
      <c r="C203" s="7" t="s">
        <v>34</v>
      </c>
      <c r="D203" s="7" t="s">
        <v>90</v>
      </c>
      <c r="E203" s="7" t="s">
        <v>114</v>
      </c>
      <c r="F203" s="7" t="s">
        <v>401</v>
      </c>
      <c r="G203" s="7">
        <v>12115.03</v>
      </c>
      <c r="H203" s="7" t="s">
        <v>26</v>
      </c>
      <c r="I203" s="7" t="s">
        <v>394</v>
      </c>
      <c r="J203" s="7" t="s">
        <v>49</v>
      </c>
      <c r="K203" s="7" t="s">
        <v>39</v>
      </c>
      <c r="L203" s="7"/>
      <c r="N203" s="2" t="str">
        <f t="shared" si="1"/>
        <v>G&amp;A</v>
      </c>
      <c r="O203" s="6">
        <f>IFERROR(__xludf.DUMMYFUNCTION("IFERROR(
  IF(LEN(TRIM(B203))=6,
    DATE(2000+VALUE(RIGHT(TRIM(B203),2)),MATCH(LEFT(TRIM(B203),3),{""Jan"",""Feb"",""Mar"",""Apr"",""May"",""Jun"",""Jul"",""Aug"",""Sep"",""Oct"",""Nov"",""Dec""},0),15),
  IF(REGEXMATCH(TRIM(B203),""^\d{2}[/-]\d{2}[/-]\d"&amp;"{4}$""),
    DATE(VALUE(RIGHT(TRIM(B203),4)),VALUE(MID(TRIM(B203),4,2)),VALUE(LEFT(TRIM(B203),2))),
  DATEVALUE(TRIM(B203)))),
""CHECK"")"),45591.0)</f>
        <v>45591</v>
      </c>
      <c r="R203" s="2" t="str">
        <f t="shared" si="2"/>
        <v>Oct</v>
      </c>
      <c r="S203" s="2" t="str">
        <f t="shared" si="3"/>
        <v>Q4</v>
      </c>
      <c r="T203" s="2">
        <f t="shared" si="4"/>
        <v>12115.03</v>
      </c>
    </row>
    <row r="204">
      <c r="A204" s="5" t="s">
        <v>585</v>
      </c>
      <c r="B204" s="5" t="s">
        <v>468</v>
      </c>
      <c r="C204" s="5" t="s">
        <v>34</v>
      </c>
      <c r="D204" s="5" t="s">
        <v>51</v>
      </c>
      <c r="E204" s="5" t="s">
        <v>50</v>
      </c>
      <c r="F204" s="5" t="s">
        <v>343</v>
      </c>
      <c r="G204" s="5">
        <v>8844.28</v>
      </c>
      <c r="H204" s="5" t="s">
        <v>26</v>
      </c>
      <c r="I204" s="5" t="s">
        <v>118</v>
      </c>
      <c r="J204" s="5" t="s">
        <v>49</v>
      </c>
      <c r="K204" s="5" t="s">
        <v>39</v>
      </c>
      <c r="L204" s="5"/>
      <c r="N204" s="2" t="str">
        <f t="shared" si="1"/>
        <v>Customer Success</v>
      </c>
      <c r="O204" s="6">
        <f>IFERROR(__xludf.DUMMYFUNCTION("IFERROR(
  IF(LEN(TRIM(B204))=6,
    DATE(2000+VALUE(RIGHT(TRIM(B204),2)),MATCH(LEFT(TRIM(B204),3),{""Jan"",""Feb"",""Mar"",""Apr"",""May"",""Jun"",""Jul"",""Aug"",""Sep"",""Oct"",""Nov"",""Dec""},0),15),
  IF(REGEXMATCH(TRIM(B204),""^\d{2}[/-]\d{2}[/-]\d"&amp;"{4}$""),
    DATE(VALUE(RIGHT(TRIM(B204),4)),VALUE(MID(TRIM(B204),4,2)),VALUE(LEFT(TRIM(B204),2))),
  DATEVALUE(TRIM(B204)))),
""CHECK"")"),45545.0)</f>
        <v>45545</v>
      </c>
      <c r="R204" s="2" t="str">
        <f t="shared" si="2"/>
        <v>Sep</v>
      </c>
      <c r="S204" s="2" t="str">
        <f t="shared" si="3"/>
        <v>Q3</v>
      </c>
      <c r="T204" s="2">
        <f t="shared" si="4"/>
        <v>8844.28</v>
      </c>
    </row>
    <row r="205">
      <c r="A205" s="7" t="s">
        <v>586</v>
      </c>
      <c r="B205" s="7" t="s">
        <v>587</v>
      </c>
      <c r="C205" s="7" t="s">
        <v>34</v>
      </c>
      <c r="D205" s="7" t="s">
        <v>111</v>
      </c>
      <c r="E205" s="7" t="s">
        <v>24</v>
      </c>
      <c r="F205" s="7" t="s">
        <v>384</v>
      </c>
      <c r="G205" s="7">
        <v>10536.81</v>
      </c>
      <c r="H205" s="7" t="s">
        <v>26</v>
      </c>
      <c r="I205" s="7" t="s">
        <v>168</v>
      </c>
      <c r="J205" s="7" t="s">
        <v>38</v>
      </c>
      <c r="K205" s="7" t="s">
        <v>39</v>
      </c>
      <c r="L205" s="7"/>
      <c r="N205" s="2" t="str">
        <f t="shared" si="1"/>
        <v>Sales</v>
      </c>
      <c r="O205" s="6">
        <f>IFERROR(__xludf.DUMMYFUNCTION("IFERROR(
  IF(LEN(TRIM(B205))=6,
    DATE(2000+VALUE(RIGHT(TRIM(B205),2)),MATCH(LEFT(TRIM(B205),3),{""Jan"",""Feb"",""Mar"",""Apr"",""May"",""Jun"",""Jul"",""Aug"",""Sep"",""Oct"",""Nov"",""Dec""},0),15),
  IF(REGEXMATCH(TRIM(B205),""^\d{2}[/-]\d{2}[/-]\d"&amp;"{4}$""),
    DATE(VALUE(RIGHT(TRIM(B205),4)),VALUE(MID(TRIM(B205),4,2)),VALUE(LEFT(TRIM(B205),2))),
  DATEVALUE(TRIM(B205)))),
""CHECK"")"),45628.0)</f>
        <v>45628</v>
      </c>
      <c r="R205" s="2" t="str">
        <f t="shared" si="2"/>
        <v>Dec</v>
      </c>
      <c r="S205" s="2" t="str">
        <f t="shared" si="3"/>
        <v>Q4</v>
      </c>
      <c r="T205" s="2">
        <f t="shared" si="4"/>
        <v>10536.81</v>
      </c>
    </row>
    <row r="206">
      <c r="A206" s="5" t="s">
        <v>588</v>
      </c>
      <c r="B206" s="5" t="s">
        <v>332</v>
      </c>
      <c r="C206" s="5" t="s">
        <v>22</v>
      </c>
      <c r="D206" s="5" t="s">
        <v>62</v>
      </c>
      <c r="E206" s="5" t="s">
        <v>24</v>
      </c>
      <c r="F206" s="5" t="s">
        <v>221</v>
      </c>
      <c r="G206" s="5">
        <v>8516.34</v>
      </c>
      <c r="H206" s="5" t="s">
        <v>26</v>
      </c>
      <c r="I206" s="5" t="s">
        <v>65</v>
      </c>
      <c r="J206" s="5" t="s">
        <v>113</v>
      </c>
      <c r="K206" s="5" t="s">
        <v>67</v>
      </c>
      <c r="L206" s="5"/>
      <c r="N206" s="2" t="str">
        <f t="shared" si="1"/>
        <v>Sales</v>
      </c>
      <c r="O206" s="6">
        <f>IFERROR(__xludf.DUMMYFUNCTION("IFERROR(
  IF(LEN(TRIM(B206))=6,
    DATE(2000+VALUE(RIGHT(TRIM(B206),2)),MATCH(LEFT(TRIM(B206),3),{""Jan"",""Feb"",""Mar"",""Apr"",""May"",""Jun"",""Jul"",""Aug"",""Sep"",""Oct"",""Nov"",""Dec""},0),15),
  IF(REGEXMATCH(TRIM(B206),""^\d{2}[/-]\d{2}[/-]\d"&amp;"{4}$""),
    DATE(VALUE(RIGHT(TRIM(B206),4)),VALUE(MID(TRIM(B206),4,2)),VALUE(LEFT(TRIM(B206),2))),
  DATEVALUE(TRIM(B206)))),
""CHECK"")"),45458.0)</f>
        <v>45458</v>
      </c>
      <c r="R206" s="2" t="str">
        <f t="shared" si="2"/>
        <v>Jun</v>
      </c>
      <c r="S206" s="2" t="str">
        <f t="shared" si="3"/>
        <v>Q2</v>
      </c>
      <c r="T206" s="2">
        <f t="shared" si="4"/>
        <v>8516.34</v>
      </c>
    </row>
    <row r="207">
      <c r="A207" s="7" t="s">
        <v>589</v>
      </c>
      <c r="B207" s="7" t="s">
        <v>337</v>
      </c>
      <c r="C207" s="7" t="s">
        <v>34</v>
      </c>
      <c r="D207" s="7" t="s">
        <v>54</v>
      </c>
      <c r="E207" s="7" t="s">
        <v>55</v>
      </c>
      <c r="F207" s="7" t="s">
        <v>590</v>
      </c>
      <c r="G207" s="7">
        <v>28682.03</v>
      </c>
      <c r="H207" s="7" t="s">
        <v>26</v>
      </c>
      <c r="I207" s="7" t="s">
        <v>48</v>
      </c>
      <c r="J207" s="7" t="s">
        <v>142</v>
      </c>
      <c r="K207" s="7" t="s">
        <v>39</v>
      </c>
      <c r="L207" s="7"/>
      <c r="N207" s="2" t="str">
        <f t="shared" si="1"/>
        <v>Marketing</v>
      </c>
      <c r="O207" s="6">
        <f>IFERROR(__xludf.DUMMYFUNCTION("IFERROR(
  IF(LEN(TRIM(B207))=6,
    DATE(2000+VALUE(RIGHT(TRIM(B207),2)),MATCH(LEFT(TRIM(B207),3),{""Jan"",""Feb"",""Mar"",""Apr"",""May"",""Jun"",""Jul"",""Aug"",""Sep"",""Oct"",""Nov"",""Dec""},0),15),
  IF(REGEXMATCH(TRIM(B207),""^\d{2}[/-]\d{2}[/-]\d"&amp;"{4}$""),
    DATE(VALUE(RIGHT(TRIM(B207),4)),VALUE(MID(TRIM(B207),4,2)),VALUE(LEFT(TRIM(B207),2))),
  DATEVALUE(TRIM(B207)))),
""CHECK"")"),45611.0)</f>
        <v>45611</v>
      </c>
      <c r="R207" s="2" t="str">
        <f t="shared" si="2"/>
        <v>Nov</v>
      </c>
      <c r="S207" s="2" t="str">
        <f t="shared" si="3"/>
        <v>Q4</v>
      </c>
      <c r="T207" s="2">
        <f t="shared" si="4"/>
        <v>28682.03</v>
      </c>
    </row>
    <row r="208">
      <c r="A208" s="5" t="s">
        <v>591</v>
      </c>
      <c r="B208" s="5" t="s">
        <v>316</v>
      </c>
      <c r="C208" s="5" t="s">
        <v>34</v>
      </c>
      <c r="D208" s="5" t="s">
        <v>111</v>
      </c>
      <c r="E208" s="5" t="s">
        <v>63</v>
      </c>
      <c r="F208" s="5" t="s">
        <v>592</v>
      </c>
      <c r="G208" s="5">
        <v>54510.25</v>
      </c>
      <c r="H208" s="5" t="s">
        <v>26</v>
      </c>
      <c r="I208" s="5" t="s">
        <v>206</v>
      </c>
      <c r="J208" s="5" t="s">
        <v>49</v>
      </c>
      <c r="K208" s="5" t="s">
        <v>39</v>
      </c>
      <c r="L208" s="5"/>
      <c r="N208" s="2" t="str">
        <f t="shared" si="1"/>
        <v>Sales</v>
      </c>
      <c r="O208" s="6">
        <f>IFERROR(__xludf.DUMMYFUNCTION("IFERROR(
  IF(LEN(TRIM(B208))=6,
    DATE(2000+VALUE(RIGHT(TRIM(B208),2)),MATCH(LEFT(TRIM(B208),3),{""Jan"",""Feb"",""Mar"",""Apr"",""May"",""Jun"",""Jul"",""Aug"",""Sep"",""Oct"",""Nov"",""Dec""},0),15),
  IF(REGEXMATCH(TRIM(B208),""^\d{2}[/-]\d{2}[/-]\d"&amp;"{4}$""),
    DATE(VALUE(RIGHT(TRIM(B208),4)),VALUE(MID(TRIM(B208),4,2)),VALUE(LEFT(TRIM(B208),2))),
  DATEVALUE(TRIM(B208)))),
""CHECK"")"),45566.0)</f>
        <v>45566</v>
      </c>
      <c r="R208" s="2" t="str">
        <f t="shared" si="2"/>
        <v>Oct</v>
      </c>
      <c r="S208" s="2" t="str">
        <f t="shared" si="3"/>
        <v>Q4</v>
      </c>
      <c r="T208" s="2">
        <f t="shared" si="4"/>
        <v>54510.25</v>
      </c>
    </row>
    <row r="209">
      <c r="A209" s="7" t="s">
        <v>593</v>
      </c>
      <c r="B209" s="7" t="s">
        <v>594</v>
      </c>
      <c r="C209" s="7" t="s">
        <v>34</v>
      </c>
      <c r="D209" s="7" t="s">
        <v>82</v>
      </c>
      <c r="E209" s="7" t="s">
        <v>94</v>
      </c>
      <c r="F209" s="7" t="s">
        <v>511</v>
      </c>
      <c r="G209" s="7">
        <v>24137.83</v>
      </c>
      <c r="H209" s="7" t="s">
        <v>26</v>
      </c>
      <c r="I209" s="7" t="s">
        <v>394</v>
      </c>
      <c r="J209" s="7" t="s">
        <v>44</v>
      </c>
      <c r="K209" s="7" t="s">
        <v>29</v>
      </c>
      <c r="L209" s="7"/>
      <c r="N209" s="2" t="str">
        <f t="shared" si="1"/>
        <v>Engineering</v>
      </c>
      <c r="O209" s="6">
        <f>IFERROR(__xludf.DUMMYFUNCTION("IFERROR(
  IF(LEN(TRIM(B209))=6,
    DATE(2000+VALUE(RIGHT(TRIM(B209),2)),MATCH(LEFT(TRIM(B209),3),{""Jan"",""Feb"",""Mar"",""Apr"",""May"",""Jun"",""Jul"",""Aug"",""Sep"",""Oct"",""Nov"",""Dec""},0),15),
  IF(REGEXMATCH(TRIM(B209),""^\d{2}[/-]\d{2}[/-]\d"&amp;"{4}$""),
    DATE(VALUE(RIGHT(TRIM(B209),4)),VALUE(MID(TRIM(B209),4,2)),VALUE(LEFT(TRIM(B209),2))),
  DATEVALUE(TRIM(B209)))),
""CHECK"")"),45372.0)</f>
        <v>45372</v>
      </c>
      <c r="R209" s="2" t="str">
        <f t="shared" si="2"/>
        <v>Mar</v>
      </c>
      <c r="S209" s="2" t="str">
        <f t="shared" si="3"/>
        <v>Q1</v>
      </c>
      <c r="T209" s="2">
        <f t="shared" si="4"/>
        <v>24137.83</v>
      </c>
    </row>
    <row r="210">
      <c r="A210" s="5" t="s">
        <v>595</v>
      </c>
      <c r="B210" s="5" t="s">
        <v>596</v>
      </c>
      <c r="C210" s="5" t="s">
        <v>34</v>
      </c>
      <c r="D210" s="5" t="s">
        <v>31</v>
      </c>
      <c r="E210" s="5" t="s">
        <v>31</v>
      </c>
      <c r="F210" s="5" t="s">
        <v>597</v>
      </c>
      <c r="G210" s="5">
        <v>25966.36</v>
      </c>
      <c r="H210" s="5" t="s">
        <v>26</v>
      </c>
      <c r="I210" s="5" t="s">
        <v>168</v>
      </c>
      <c r="J210" s="5" t="s">
        <v>142</v>
      </c>
      <c r="K210" s="5" t="s">
        <v>39</v>
      </c>
      <c r="L210" s="5"/>
      <c r="N210" s="2" t="str">
        <f t="shared" si="1"/>
        <v>Cloud Infrastructure</v>
      </c>
      <c r="O210" s="6">
        <f>IFERROR(__xludf.DUMMYFUNCTION("IFERROR(
  IF(LEN(TRIM(B210))=6,
    DATE(2000+VALUE(RIGHT(TRIM(B210),2)),MATCH(LEFT(TRIM(B210),3),{""Jan"",""Feb"",""Mar"",""Apr"",""May"",""Jun"",""Jul"",""Aug"",""Sep"",""Oct"",""Nov"",""Dec""},0),15),
  IF(REGEXMATCH(TRIM(B210),""^\d{2}[/-]\d{2}[/-]\d"&amp;"{4}$""),
    DATE(VALUE(RIGHT(TRIM(B210),4)),VALUE(MID(TRIM(B210),4,2)),VALUE(LEFT(TRIM(B210),2))),
  DATEVALUE(TRIM(B210)))),
""CHECK"")"),45615.0)</f>
        <v>45615</v>
      </c>
      <c r="R210" s="2" t="str">
        <f t="shared" si="2"/>
        <v>Nov</v>
      </c>
      <c r="S210" s="2" t="str">
        <f t="shared" si="3"/>
        <v>Q4</v>
      </c>
      <c r="T210" s="2">
        <f t="shared" si="4"/>
        <v>25966.36</v>
      </c>
    </row>
    <row r="211">
      <c r="A211" s="7" t="s">
        <v>598</v>
      </c>
      <c r="B211" s="7" t="s">
        <v>599</v>
      </c>
      <c r="C211" s="7" t="s">
        <v>34</v>
      </c>
      <c r="D211" s="7" t="s">
        <v>51</v>
      </c>
      <c r="E211" s="7" t="s">
        <v>50</v>
      </c>
      <c r="F211" s="7" t="s">
        <v>478</v>
      </c>
      <c r="G211" s="7">
        <v>11782.26</v>
      </c>
      <c r="H211" s="7" t="s">
        <v>26</v>
      </c>
      <c r="I211" s="7" t="s">
        <v>231</v>
      </c>
      <c r="J211" s="7" t="s">
        <v>44</v>
      </c>
      <c r="K211" s="7" t="s">
        <v>29</v>
      </c>
      <c r="L211" s="7"/>
      <c r="N211" s="2" t="str">
        <f t="shared" si="1"/>
        <v>Customer Success</v>
      </c>
      <c r="O211" s="6">
        <f>IFERROR(__xludf.DUMMYFUNCTION("IFERROR(
  IF(LEN(TRIM(B211))=6,
    DATE(2000+VALUE(RIGHT(TRIM(B211),2)),MATCH(LEFT(TRIM(B211),3),{""Jan"",""Feb"",""Mar"",""Apr"",""May"",""Jun"",""Jul"",""Aug"",""Sep"",""Oct"",""Nov"",""Dec""},0),15),
  IF(REGEXMATCH(TRIM(B211),""^\d{2}[/-]\d{2}[/-]\d"&amp;"{4}$""),
    DATE(VALUE(RIGHT(TRIM(B211),4)),VALUE(MID(TRIM(B211),4,2)),VALUE(LEFT(TRIM(B211),2))),
  DATEVALUE(TRIM(B211)))),
""CHECK"")"),46084.0)</f>
        <v>46084</v>
      </c>
      <c r="R211" s="2" t="str">
        <f t="shared" si="2"/>
        <v>Mar</v>
      </c>
      <c r="S211" s="2" t="str">
        <f t="shared" si="3"/>
        <v>Q1</v>
      </c>
      <c r="T211" s="2">
        <f t="shared" si="4"/>
        <v>11782.26</v>
      </c>
    </row>
    <row r="212">
      <c r="A212" s="5" t="s">
        <v>600</v>
      </c>
      <c r="B212" s="5" t="s">
        <v>601</v>
      </c>
      <c r="C212" s="5" t="s">
        <v>34</v>
      </c>
      <c r="D212" s="5" t="s">
        <v>54</v>
      </c>
      <c r="E212" s="5" t="s">
        <v>55</v>
      </c>
      <c r="F212" s="5" t="s">
        <v>602</v>
      </c>
      <c r="G212" s="5">
        <v>20614.11</v>
      </c>
      <c r="H212" s="5" t="s">
        <v>26</v>
      </c>
      <c r="I212" s="5" t="s">
        <v>394</v>
      </c>
      <c r="J212" s="5" t="s">
        <v>87</v>
      </c>
      <c r="K212" s="5" t="s">
        <v>67</v>
      </c>
      <c r="L212" s="5"/>
      <c r="N212" s="2" t="str">
        <f t="shared" si="1"/>
        <v>Marketing</v>
      </c>
      <c r="O212" s="6">
        <f>IFERROR(__xludf.DUMMYFUNCTION("IFERROR(
  IF(LEN(TRIM(B212))=6,
    DATE(2000+VALUE(RIGHT(TRIM(B212),2)),MATCH(LEFT(TRIM(B212),3),{""Jan"",""Feb"",""Mar"",""Apr"",""May"",""Jun"",""Jul"",""Aug"",""Sep"",""Oct"",""Nov"",""Dec""},0),15),
  IF(REGEXMATCH(TRIM(B212),""^\d{2}[/-]\d{2}[/-]\d"&amp;"{4}$""),
    DATE(VALUE(RIGHT(TRIM(B212),4)),VALUE(MID(TRIM(B212),4,2)),VALUE(LEFT(TRIM(B212),2))),
  DATEVALUE(TRIM(B212)))),
""CHECK"")"),45416.0)</f>
        <v>45416</v>
      </c>
      <c r="R212" s="2" t="str">
        <f t="shared" si="2"/>
        <v>May</v>
      </c>
      <c r="S212" s="2" t="str">
        <f t="shared" si="3"/>
        <v>Q2</v>
      </c>
      <c r="T212" s="2">
        <f t="shared" si="4"/>
        <v>20614.11</v>
      </c>
    </row>
    <row r="213">
      <c r="A213" s="7" t="s">
        <v>603</v>
      </c>
      <c r="B213" s="7" t="s">
        <v>604</v>
      </c>
      <c r="C213" s="7" t="s">
        <v>34</v>
      </c>
      <c r="D213" s="7" t="s">
        <v>82</v>
      </c>
      <c r="E213" s="7" t="s">
        <v>81</v>
      </c>
      <c r="F213" s="7" t="s">
        <v>177</v>
      </c>
      <c r="G213" s="7">
        <v>22988.71</v>
      </c>
      <c r="H213" s="7" t="s">
        <v>26</v>
      </c>
      <c r="I213" s="7" t="s">
        <v>93</v>
      </c>
      <c r="J213" s="7" t="s">
        <v>49</v>
      </c>
      <c r="K213" s="7" t="s">
        <v>39</v>
      </c>
      <c r="L213" s="7"/>
      <c r="N213" s="2" t="str">
        <f t="shared" si="1"/>
        <v>Engineering</v>
      </c>
      <c r="O213" s="6">
        <f>IFERROR(__xludf.DUMMYFUNCTION("IFERROR(
  IF(LEN(TRIM(B213))=6,
    DATE(2000+VALUE(RIGHT(TRIM(B213),2)),MATCH(LEFT(TRIM(B213),3),{""Jan"",""Feb"",""Mar"",""Apr"",""May"",""Jun"",""Jul"",""Aug"",""Sep"",""Oct"",""Nov"",""Dec""},0),15),
  IF(REGEXMATCH(TRIM(B213),""^\d{2}[/-]\d{2}[/-]\d"&amp;"{4}$""),
    DATE(VALUE(RIGHT(TRIM(B213),4)),VALUE(MID(TRIM(B213),4,2)),VALUE(LEFT(TRIM(B213),2))),
  DATEVALUE(TRIM(B213)))),
""CHECK"")"),45570.0)</f>
        <v>45570</v>
      </c>
      <c r="R213" s="2" t="str">
        <f t="shared" si="2"/>
        <v>Oct</v>
      </c>
      <c r="S213" s="2" t="str">
        <f t="shared" si="3"/>
        <v>Q4</v>
      </c>
      <c r="T213" s="2">
        <f t="shared" si="4"/>
        <v>22988.71</v>
      </c>
    </row>
    <row r="214">
      <c r="A214" s="5" t="s">
        <v>605</v>
      </c>
      <c r="B214" s="5" t="s">
        <v>101</v>
      </c>
      <c r="C214" s="5" t="s">
        <v>34</v>
      </c>
      <c r="D214" s="5" t="s">
        <v>111</v>
      </c>
      <c r="E214" s="5" t="s">
        <v>24</v>
      </c>
      <c r="F214" s="5" t="s">
        <v>606</v>
      </c>
      <c r="G214" s="5">
        <v>10279.83</v>
      </c>
      <c r="H214" s="5" t="s">
        <v>26</v>
      </c>
      <c r="I214" s="5" t="s">
        <v>80</v>
      </c>
      <c r="J214" s="5" t="s">
        <v>44</v>
      </c>
      <c r="K214" s="5" t="s">
        <v>29</v>
      </c>
      <c r="L214" s="5"/>
      <c r="N214" s="2" t="str">
        <f t="shared" si="1"/>
        <v>Sales</v>
      </c>
      <c r="O214" s="6">
        <f>IFERROR(__xludf.DUMMYFUNCTION("IFERROR(
  IF(LEN(TRIM(B214))=6,
    DATE(2000+VALUE(RIGHT(TRIM(B214),2)),MATCH(LEFT(TRIM(B214),3),{""Jan"",""Feb"",""Mar"",""Apr"",""May"",""Jun"",""Jul"",""Aug"",""Sep"",""Oct"",""Nov"",""Dec""},0),15),
  IF(REGEXMATCH(TRIM(B214),""^\d{2}[/-]\d{2}[/-]\d"&amp;"{4}$""),
    DATE(VALUE(RIGHT(TRIM(B214),4)),VALUE(MID(TRIM(B214),4,2)),VALUE(LEFT(TRIM(B214),2))),
  DATEVALUE(TRIM(B214)))),
""CHECK"")"),45366.0)</f>
        <v>45366</v>
      </c>
      <c r="R214" s="2" t="str">
        <f t="shared" si="2"/>
        <v>Mar</v>
      </c>
      <c r="S214" s="2" t="str">
        <f t="shared" si="3"/>
        <v>Q1</v>
      </c>
      <c r="T214" s="2">
        <f t="shared" si="4"/>
        <v>10279.83</v>
      </c>
    </row>
    <row r="215">
      <c r="A215" s="7" t="s">
        <v>607</v>
      </c>
      <c r="B215" s="7" t="s">
        <v>608</v>
      </c>
      <c r="C215" s="7" t="s">
        <v>22</v>
      </c>
      <c r="D215" s="7" t="s">
        <v>62</v>
      </c>
      <c r="E215" s="7" t="s">
        <v>24</v>
      </c>
      <c r="F215" s="7" t="s">
        <v>370</v>
      </c>
      <c r="G215" s="7">
        <v>7561.43</v>
      </c>
      <c r="H215" s="7" t="s">
        <v>26</v>
      </c>
      <c r="I215" s="7" t="s">
        <v>213</v>
      </c>
      <c r="J215" s="7" t="s">
        <v>28</v>
      </c>
      <c r="K215" s="7" t="s">
        <v>29</v>
      </c>
      <c r="L215" s="7"/>
      <c r="N215" s="2" t="str">
        <f t="shared" si="1"/>
        <v>Sales</v>
      </c>
      <c r="O215" s="6">
        <f>IFERROR(__xludf.DUMMYFUNCTION("IFERROR(
  IF(LEN(TRIM(B215))=6,
    DATE(2000+VALUE(RIGHT(TRIM(B215),2)),MATCH(LEFT(TRIM(B215),3),{""Jan"",""Feb"",""Mar"",""Apr"",""May"",""Jun"",""Jul"",""Aug"",""Sep"",""Oct"",""Nov"",""Dec""},0),15),
  IF(REGEXMATCH(TRIM(B215),""^\d{2}[/-]\d{2}[/-]\d"&amp;"{4}$""),
    DATE(VALUE(RIGHT(TRIM(B215),4)),VALUE(MID(TRIM(B215),4,2)),VALUE(LEFT(TRIM(B215),2))),
  DATEVALUE(TRIM(B215)))),
""CHECK"")"),45320.0)</f>
        <v>45320</v>
      </c>
      <c r="R215" s="2" t="str">
        <f t="shared" si="2"/>
        <v>Jan</v>
      </c>
      <c r="S215" s="2" t="str">
        <f t="shared" si="3"/>
        <v>Q1</v>
      </c>
      <c r="T215" s="2">
        <f t="shared" si="4"/>
        <v>7561.43</v>
      </c>
    </row>
    <row r="216">
      <c r="A216" s="5" t="s">
        <v>609</v>
      </c>
      <c r="B216" s="5" t="s">
        <v>610</v>
      </c>
      <c r="C216" s="5" t="s">
        <v>22</v>
      </c>
      <c r="D216" s="5" t="s">
        <v>85</v>
      </c>
      <c r="E216" s="5" t="s">
        <v>111</v>
      </c>
      <c r="F216" s="5" t="s">
        <v>190</v>
      </c>
      <c r="G216" s="5">
        <v>26122.63</v>
      </c>
      <c r="H216" s="5" t="s">
        <v>26</v>
      </c>
      <c r="I216" s="5" t="s">
        <v>65</v>
      </c>
      <c r="J216" s="5" t="s">
        <v>58</v>
      </c>
      <c r="K216" s="5" t="s">
        <v>59</v>
      </c>
      <c r="L216" s="5"/>
      <c r="N216" s="2" t="str">
        <f t="shared" si="1"/>
        <v>Sales</v>
      </c>
      <c r="O216" s="6">
        <f>IFERROR(__xludf.DUMMYFUNCTION("IFERROR(
  IF(LEN(TRIM(B216))=6,
    DATE(2000+VALUE(RIGHT(TRIM(B216),2)),MATCH(LEFT(TRIM(B216),3),{""Jan"",""Feb"",""Mar"",""Apr"",""May"",""Jun"",""Jul"",""Aug"",""Sep"",""Oct"",""Nov"",""Dec""},0),15),
  IF(REGEXMATCH(TRIM(B216),""^\d{2}[/-]\d{2}[/-]\d"&amp;"{4}$""),
    DATE(VALUE(RIGHT(TRIM(B216),4)),VALUE(MID(TRIM(B216),4,2)),VALUE(LEFT(TRIM(B216),2))),
  DATEVALUE(TRIM(B216)))),
""CHECK"")"),46119.0)</f>
        <v>46119</v>
      </c>
      <c r="R216" s="2" t="str">
        <f t="shared" si="2"/>
        <v>Apr</v>
      </c>
      <c r="S216" s="2" t="str">
        <f t="shared" si="3"/>
        <v>Q2</v>
      </c>
      <c r="T216" s="2">
        <f t="shared" si="4"/>
        <v>26122.63</v>
      </c>
    </row>
    <row r="217">
      <c r="A217" s="7" t="s">
        <v>611</v>
      </c>
      <c r="B217" s="7" t="s">
        <v>277</v>
      </c>
      <c r="C217" s="7" t="s">
        <v>34</v>
      </c>
      <c r="D217" s="7" t="s">
        <v>54</v>
      </c>
      <c r="E217" s="7" t="s">
        <v>124</v>
      </c>
      <c r="F217" s="7" t="s">
        <v>346</v>
      </c>
      <c r="G217" s="7">
        <v>20306.62</v>
      </c>
      <c r="H217" s="7" t="s">
        <v>26</v>
      </c>
      <c r="I217" s="7" t="s">
        <v>237</v>
      </c>
      <c r="J217" s="7" t="s">
        <v>87</v>
      </c>
      <c r="K217" s="7" t="s">
        <v>67</v>
      </c>
      <c r="L217" s="7"/>
      <c r="N217" s="2" t="str">
        <f t="shared" si="1"/>
        <v>Marketing</v>
      </c>
      <c r="O217" s="6">
        <f>IFERROR(__xludf.DUMMYFUNCTION("IFERROR(
  IF(LEN(TRIM(B217))=6,
    DATE(2000+VALUE(RIGHT(TRIM(B217),2)),MATCH(LEFT(TRIM(B217),3),{""Jan"",""Feb"",""Mar"",""Apr"",""May"",""Jun"",""Jul"",""Aug"",""Sep"",""Oct"",""Nov"",""Dec""},0),15),
  IF(REGEXMATCH(TRIM(B217),""^\d{2}[/-]\d{2}[/-]\d"&amp;"{4}$""),
    DATE(VALUE(RIGHT(TRIM(B217),4)),VALUE(MID(TRIM(B217),4,2)),VALUE(LEFT(TRIM(B217),2))),
  DATEVALUE(TRIM(B217)))),
""CHECK"")"),45441.0)</f>
        <v>45441</v>
      </c>
      <c r="R217" s="2" t="str">
        <f t="shared" si="2"/>
        <v>May</v>
      </c>
      <c r="S217" s="2" t="str">
        <f t="shared" si="3"/>
        <v>Q2</v>
      </c>
      <c r="T217" s="2">
        <f t="shared" si="4"/>
        <v>20306.62</v>
      </c>
    </row>
    <row r="218">
      <c r="A218" s="5" t="s">
        <v>612</v>
      </c>
      <c r="B218" s="5" t="s">
        <v>613</v>
      </c>
      <c r="C218" s="5" t="s">
        <v>34</v>
      </c>
      <c r="D218" s="5" t="s">
        <v>51</v>
      </c>
      <c r="E218" s="5" t="s">
        <v>74</v>
      </c>
      <c r="F218" s="5" t="s">
        <v>570</v>
      </c>
      <c r="G218" s="5">
        <v>18194.23</v>
      </c>
      <c r="H218" s="5" t="s">
        <v>26</v>
      </c>
      <c r="I218" s="5" t="s">
        <v>206</v>
      </c>
      <c r="J218" s="5" t="s">
        <v>28</v>
      </c>
      <c r="K218" s="5" t="s">
        <v>29</v>
      </c>
      <c r="L218" s="5"/>
      <c r="N218" s="2" t="str">
        <f t="shared" si="1"/>
        <v>Customer Success</v>
      </c>
      <c r="O218" s="6">
        <f>IFERROR(__xludf.DUMMYFUNCTION("IFERROR(
  IF(LEN(TRIM(B218))=6,
    DATE(2000+VALUE(RIGHT(TRIM(B218),2)),MATCH(LEFT(TRIM(B218),3),{""Jan"",""Feb"",""Mar"",""Apr"",""May"",""Jun"",""Jul"",""Aug"",""Sep"",""Oct"",""Nov"",""Dec""},0),15),
  IF(REGEXMATCH(TRIM(B218),""^\d{2}[/-]\d{2}[/-]\d"&amp;"{4}$""),
    DATE(VALUE(RIGHT(TRIM(B218),4)),VALUE(MID(TRIM(B218),4,2)),VALUE(LEFT(TRIM(B218),2))),
  DATEVALUE(TRIM(B218)))),
""CHECK"")"),45295.0)</f>
        <v>45295</v>
      </c>
      <c r="R218" s="2" t="str">
        <f t="shared" si="2"/>
        <v>Jan</v>
      </c>
      <c r="S218" s="2" t="str">
        <f t="shared" si="3"/>
        <v>Q1</v>
      </c>
      <c r="T218" s="2">
        <f t="shared" si="4"/>
        <v>18194.23</v>
      </c>
    </row>
    <row r="219">
      <c r="A219" s="7" t="s">
        <v>614</v>
      </c>
      <c r="B219" s="7" t="s">
        <v>615</v>
      </c>
      <c r="C219" s="7" t="s">
        <v>34</v>
      </c>
      <c r="D219" s="7" t="s">
        <v>54</v>
      </c>
      <c r="E219" s="7" t="s">
        <v>130</v>
      </c>
      <c r="F219" s="7" t="s">
        <v>616</v>
      </c>
      <c r="G219" s="7">
        <v>29156.65</v>
      </c>
      <c r="H219" s="7" t="s">
        <v>26</v>
      </c>
      <c r="I219" s="7" t="s">
        <v>141</v>
      </c>
      <c r="J219" s="7" t="s">
        <v>38</v>
      </c>
      <c r="K219" s="7" t="s">
        <v>39</v>
      </c>
      <c r="L219" s="7"/>
      <c r="N219" s="2" t="str">
        <f t="shared" si="1"/>
        <v>Marketing</v>
      </c>
      <c r="O219" s="6">
        <f>IFERROR(__xludf.DUMMYFUNCTION("IFERROR(
  IF(LEN(TRIM(B219))=6,
    DATE(2000+VALUE(RIGHT(TRIM(B219),2)),MATCH(LEFT(TRIM(B219),3),{""Jan"",""Feb"",""Mar"",""Apr"",""May"",""Jun"",""Jul"",""Aug"",""Sep"",""Oct"",""Nov"",""Dec""},0),15),
  IF(REGEXMATCH(TRIM(B219),""^\d{2}[/-]\d{2}[/-]\d"&amp;"{4}$""),
    DATE(VALUE(RIGHT(TRIM(B219),4)),VALUE(MID(TRIM(B219),4,2)),VALUE(LEFT(TRIM(B219),2))),
  DATEVALUE(TRIM(B219)))),
""CHECK"")"),45642.0)</f>
        <v>45642</v>
      </c>
      <c r="R219" s="2" t="str">
        <f t="shared" si="2"/>
        <v>Dec</v>
      </c>
      <c r="S219" s="2" t="str">
        <f t="shared" si="3"/>
        <v>Q4</v>
      </c>
      <c r="T219" s="2">
        <f t="shared" si="4"/>
        <v>29156.65</v>
      </c>
    </row>
    <row r="220">
      <c r="A220" s="5" t="s">
        <v>617</v>
      </c>
      <c r="B220" s="5" t="s">
        <v>618</v>
      </c>
      <c r="C220" s="5" t="s">
        <v>22</v>
      </c>
      <c r="D220" s="5" t="s">
        <v>85</v>
      </c>
      <c r="E220" s="5" t="s">
        <v>97</v>
      </c>
      <c r="F220" s="5" t="s">
        <v>164</v>
      </c>
      <c r="G220" s="5">
        <v>17937.31</v>
      </c>
      <c r="H220" s="5" t="s">
        <v>26</v>
      </c>
      <c r="I220" s="5" t="s">
        <v>129</v>
      </c>
      <c r="J220" s="5" t="s">
        <v>58</v>
      </c>
      <c r="K220" s="5" t="s">
        <v>59</v>
      </c>
      <c r="L220" s="5"/>
      <c r="N220" s="2" t="str">
        <f t="shared" si="1"/>
        <v>Sales</v>
      </c>
      <c r="O220" s="6">
        <f>IFERROR(__xludf.DUMMYFUNCTION("IFERROR(
  IF(LEN(TRIM(B220))=6,
    DATE(2000+VALUE(RIGHT(TRIM(B220),2)),MATCH(LEFT(TRIM(B220),3),{""Jan"",""Feb"",""Mar"",""Apr"",""May"",""Jun"",""Jul"",""Aug"",""Sep"",""Oct"",""Nov"",""Dec""},0),15),
  IF(REGEXMATCH(TRIM(B220),""^\d{2}[/-]\d{2}[/-]\d"&amp;"{4}$""),
    DATE(VALUE(RIGHT(TRIM(B220),4)),VALUE(MID(TRIM(B220),4,2)),VALUE(LEFT(TRIM(B220),2))),
  DATEVALUE(TRIM(B220)))),
""CHECK"")"),45476.0)</f>
        <v>45476</v>
      </c>
      <c r="R220" s="2" t="str">
        <f t="shared" si="2"/>
        <v>Jul</v>
      </c>
      <c r="S220" s="2" t="str">
        <f t="shared" si="3"/>
        <v>Q3</v>
      </c>
      <c r="T220" s="2">
        <f t="shared" si="4"/>
        <v>17937.31</v>
      </c>
    </row>
    <row r="221">
      <c r="A221" s="7" t="s">
        <v>619</v>
      </c>
      <c r="B221" s="7" t="s">
        <v>620</v>
      </c>
      <c r="C221" s="7" t="s">
        <v>22</v>
      </c>
      <c r="D221" s="7" t="s">
        <v>62</v>
      </c>
      <c r="E221" s="7" t="s">
        <v>97</v>
      </c>
      <c r="F221" s="7" t="s">
        <v>152</v>
      </c>
      <c r="G221" s="7">
        <v>11005.39</v>
      </c>
      <c r="H221" s="7" t="s">
        <v>26</v>
      </c>
      <c r="I221" s="7" t="s">
        <v>65</v>
      </c>
      <c r="J221" s="7" t="s">
        <v>58</v>
      </c>
      <c r="K221" s="7" t="s">
        <v>59</v>
      </c>
      <c r="L221" s="7"/>
      <c r="N221" s="2" t="str">
        <f t="shared" si="1"/>
        <v>Sales</v>
      </c>
      <c r="O221" s="6">
        <f>IFERROR(__xludf.DUMMYFUNCTION("IFERROR(
  IF(LEN(TRIM(B221))=6,
    DATE(2000+VALUE(RIGHT(TRIM(B221),2)),MATCH(LEFT(TRIM(B221),3),{""Jan"",""Feb"",""Mar"",""Apr"",""May"",""Jun"",""Jul"",""Aug"",""Sep"",""Oct"",""Nov"",""Dec""},0),15),
  IF(REGEXMATCH(TRIM(B221),""^\d{2}[/-]\d{2}[/-]\d"&amp;"{4}$""),
    DATE(VALUE(RIGHT(TRIM(B221),4)),VALUE(MID(TRIM(B221),4,2)),VALUE(LEFT(TRIM(B221),2))),
  DATEVALUE(TRIM(B221)))),
""CHECK"")"),46149.0)</f>
        <v>46149</v>
      </c>
      <c r="R221" s="2" t="str">
        <f t="shared" si="2"/>
        <v>May</v>
      </c>
      <c r="S221" s="2" t="str">
        <f t="shared" si="3"/>
        <v>Q2</v>
      </c>
      <c r="T221" s="2">
        <f t="shared" si="4"/>
        <v>11005.39</v>
      </c>
    </row>
    <row r="222">
      <c r="A222" s="5" t="s">
        <v>621</v>
      </c>
      <c r="B222" s="5" t="s">
        <v>622</v>
      </c>
      <c r="C222" s="5" t="s">
        <v>34</v>
      </c>
      <c r="D222" s="5" t="s">
        <v>90</v>
      </c>
      <c r="E222" s="5" t="s">
        <v>104</v>
      </c>
      <c r="F222" s="5" t="s">
        <v>623</v>
      </c>
      <c r="G222" s="5">
        <v>14834.22</v>
      </c>
      <c r="H222" s="5" t="s">
        <v>26</v>
      </c>
      <c r="I222" s="5" t="s">
        <v>93</v>
      </c>
      <c r="J222" s="5" t="s">
        <v>73</v>
      </c>
      <c r="K222" s="5" t="s">
        <v>59</v>
      </c>
      <c r="L222" s="5"/>
      <c r="N222" s="2" t="str">
        <f t="shared" si="1"/>
        <v>G&amp;A</v>
      </c>
      <c r="O222" s="6">
        <f>IFERROR(__xludf.DUMMYFUNCTION("IFERROR(
  IF(LEN(TRIM(B222))=6,
    DATE(2000+VALUE(RIGHT(TRIM(B222),2)),MATCH(LEFT(TRIM(B222),3),{""Jan"",""Feb"",""Mar"",""Apr"",""May"",""Jun"",""Jul"",""Aug"",""Sep"",""Oct"",""Nov"",""Dec""},0),15),
  IF(REGEXMATCH(TRIM(B222),""^\d{2}[/-]\d{2}[/-]\d"&amp;"{4}$""),
    DATE(VALUE(RIGHT(TRIM(B222),4)),VALUE(MID(TRIM(B222),4,2)),VALUE(LEFT(TRIM(B222),2))),
  DATEVALUE(TRIM(B222)))),
""CHECK"")"),45421.0)</f>
        <v>45421</v>
      </c>
      <c r="R222" s="2" t="str">
        <f t="shared" si="2"/>
        <v>May</v>
      </c>
      <c r="S222" s="2" t="str">
        <f t="shared" si="3"/>
        <v>Q2</v>
      </c>
      <c r="T222" s="2">
        <f t="shared" si="4"/>
        <v>14834.22</v>
      </c>
    </row>
    <row r="223">
      <c r="A223" s="7" t="s">
        <v>624</v>
      </c>
      <c r="B223" s="7" t="s">
        <v>399</v>
      </c>
      <c r="C223" s="7" t="s">
        <v>22</v>
      </c>
      <c r="D223" s="7" t="s">
        <v>62</v>
      </c>
      <c r="E223" s="7" t="s">
        <v>97</v>
      </c>
      <c r="F223" s="7" t="s">
        <v>221</v>
      </c>
      <c r="G223" s="7">
        <v>9330.22</v>
      </c>
      <c r="H223" s="7" t="s">
        <v>26</v>
      </c>
      <c r="I223" s="7" t="s">
        <v>134</v>
      </c>
      <c r="J223" s="7" t="s">
        <v>87</v>
      </c>
      <c r="K223" s="7" t="s">
        <v>67</v>
      </c>
      <c r="L223" s="7"/>
      <c r="N223" s="2" t="str">
        <f t="shared" si="1"/>
        <v>Sales</v>
      </c>
      <c r="O223" s="6">
        <f>IFERROR(__xludf.DUMMYFUNCTION("IFERROR(
  IF(LEN(TRIM(B223))=6,
    DATE(2000+VALUE(RIGHT(TRIM(B223),2)),MATCH(LEFT(TRIM(B223),3),{""Jan"",""Feb"",""Mar"",""Apr"",""May"",""Jun"",""Jul"",""Aug"",""Sep"",""Oct"",""Nov"",""Dec""},0),15),
  IF(REGEXMATCH(TRIM(B223),""^\d{2}[/-]\d{2}[/-]\d"&amp;"{4}$""),
    DATE(VALUE(RIGHT(TRIM(B223),4)),VALUE(MID(TRIM(B223),4,2)),VALUE(LEFT(TRIM(B223),2))),
  DATEVALUE(TRIM(B223)))),
""CHECK"")"),45421.0)</f>
        <v>45421</v>
      </c>
      <c r="R223" s="2" t="str">
        <f t="shared" si="2"/>
        <v>May</v>
      </c>
      <c r="S223" s="2" t="str">
        <f t="shared" si="3"/>
        <v>Q2</v>
      </c>
      <c r="T223" s="2">
        <f t="shared" si="4"/>
        <v>9330.22</v>
      </c>
    </row>
    <row r="224">
      <c r="A224" s="5" t="s">
        <v>625</v>
      </c>
      <c r="B224" s="5" t="s">
        <v>626</v>
      </c>
      <c r="C224" s="5" t="s">
        <v>34</v>
      </c>
      <c r="D224" s="5" t="s">
        <v>90</v>
      </c>
      <c r="E224" s="5" t="s">
        <v>90</v>
      </c>
      <c r="F224" s="5" t="s">
        <v>346</v>
      </c>
      <c r="G224" s="5">
        <v>15131.57</v>
      </c>
      <c r="H224" s="5" t="s">
        <v>26</v>
      </c>
      <c r="I224" s="5" t="s">
        <v>237</v>
      </c>
      <c r="J224" s="5" t="s">
        <v>38</v>
      </c>
      <c r="K224" s="5" t="s">
        <v>39</v>
      </c>
      <c r="L224" s="5"/>
      <c r="N224" s="2" t="str">
        <f t="shared" si="1"/>
        <v>G&amp;A</v>
      </c>
      <c r="O224" s="6">
        <f>IFERROR(__xludf.DUMMYFUNCTION("IFERROR(
  IF(LEN(TRIM(B224))=6,
    DATE(2000+VALUE(RIGHT(TRIM(B224),2)),MATCH(LEFT(TRIM(B224),3),{""Jan"",""Feb"",""Mar"",""Apr"",""May"",""Jun"",""Jul"",""Aug"",""Sep"",""Oct"",""Nov"",""Dec""},0),15),
  IF(REGEXMATCH(TRIM(B224),""^\d{2}[/-]\d{2}[/-]\d"&amp;"{4}$""),
    DATE(VALUE(RIGHT(TRIM(B224),4)),VALUE(MID(TRIM(B224),4,2)),VALUE(LEFT(TRIM(B224),2))),
  DATEVALUE(TRIM(B224)))),
""CHECK"")"),45652.0)</f>
        <v>45652</v>
      </c>
      <c r="R224" s="2" t="str">
        <f t="shared" si="2"/>
        <v>Dec</v>
      </c>
      <c r="S224" s="2" t="str">
        <f t="shared" si="3"/>
        <v>Q4</v>
      </c>
      <c r="T224" s="2">
        <f t="shared" si="4"/>
        <v>15131.57</v>
      </c>
    </row>
    <row r="225">
      <c r="A225" s="7" t="s">
        <v>627</v>
      </c>
      <c r="B225" s="7" t="s">
        <v>308</v>
      </c>
      <c r="C225" s="7" t="s">
        <v>22</v>
      </c>
      <c r="D225" s="7" t="s">
        <v>62</v>
      </c>
      <c r="E225" s="7" t="s">
        <v>24</v>
      </c>
      <c r="F225" s="7" t="s">
        <v>284</v>
      </c>
      <c r="G225" s="7">
        <v>19938.15</v>
      </c>
      <c r="H225" s="7" t="s">
        <v>26</v>
      </c>
      <c r="I225" s="7" t="s">
        <v>27</v>
      </c>
      <c r="J225" s="7" t="s">
        <v>126</v>
      </c>
      <c r="K225" s="7" t="s">
        <v>29</v>
      </c>
      <c r="L225" s="7"/>
      <c r="N225" s="2" t="str">
        <f t="shared" si="1"/>
        <v>Sales</v>
      </c>
      <c r="O225" s="6">
        <f>IFERROR(__xludf.DUMMYFUNCTION("IFERROR(
  IF(LEN(TRIM(B225))=6,
    DATE(2000+VALUE(RIGHT(TRIM(B225),2)),MATCH(LEFT(TRIM(B225),3),{""Jan"",""Feb"",""Mar"",""Apr"",""May"",""Jun"",""Jul"",""Aug"",""Sep"",""Oct"",""Nov"",""Dec""},0),15),
  IF(REGEXMATCH(TRIM(B225),""^\d{2}[/-]\d{2}[/-]\d"&amp;"{4}$""),
    DATE(VALUE(RIGHT(TRIM(B225),4)),VALUE(MID(TRIM(B225),4,2)),VALUE(LEFT(TRIM(B225),2))),
  DATEVALUE(TRIM(B225)))),
""CHECK"")"),45351.0)</f>
        <v>45351</v>
      </c>
      <c r="R225" s="2" t="str">
        <f t="shared" si="2"/>
        <v>Feb</v>
      </c>
      <c r="S225" s="2" t="str">
        <f t="shared" si="3"/>
        <v>Q1</v>
      </c>
      <c r="T225" s="2">
        <f t="shared" si="4"/>
        <v>19938.15</v>
      </c>
    </row>
    <row r="226">
      <c r="A226" s="5" t="s">
        <v>628</v>
      </c>
      <c r="B226" s="5" t="s">
        <v>629</v>
      </c>
      <c r="C226" s="5" t="s">
        <v>34</v>
      </c>
      <c r="D226" s="5" t="s">
        <v>51</v>
      </c>
      <c r="E226" s="5" t="s">
        <v>68</v>
      </c>
      <c r="F226" s="5" t="s">
        <v>630</v>
      </c>
      <c r="G226" s="5">
        <v>41722.89</v>
      </c>
      <c r="H226" s="5" t="s">
        <v>26</v>
      </c>
      <c r="I226" s="5" t="s">
        <v>231</v>
      </c>
      <c r="J226" s="5" t="s">
        <v>126</v>
      </c>
      <c r="K226" s="5" t="s">
        <v>29</v>
      </c>
      <c r="L226" s="5"/>
      <c r="N226" s="2" t="str">
        <f t="shared" si="1"/>
        <v>Customer Success</v>
      </c>
      <c r="O226" s="6">
        <f>IFERROR(__xludf.DUMMYFUNCTION("IFERROR(
  IF(LEN(TRIM(B226))=6,
    DATE(2000+VALUE(RIGHT(TRIM(B226),2)),MATCH(LEFT(TRIM(B226),3),{""Jan"",""Feb"",""Mar"",""Apr"",""May"",""Jun"",""Jul"",""Aug"",""Sep"",""Oct"",""Nov"",""Dec""},0),15),
  IF(REGEXMATCH(TRIM(B226),""^\d{2}[/-]\d{2}[/-]\d"&amp;"{4}$""),
    DATE(VALUE(RIGHT(TRIM(B226),4)),VALUE(MID(TRIM(B226),4,2)),VALUE(LEFT(TRIM(B226),2))),
  DATEVALUE(TRIM(B226)))),
""CHECK"")"),45324.0)</f>
        <v>45324</v>
      </c>
      <c r="R226" s="2" t="str">
        <f t="shared" si="2"/>
        <v>Feb</v>
      </c>
      <c r="S226" s="2" t="str">
        <f t="shared" si="3"/>
        <v>Q1</v>
      </c>
      <c r="T226" s="2">
        <f t="shared" si="4"/>
        <v>41722.89</v>
      </c>
    </row>
    <row r="227">
      <c r="A227" s="7" t="s">
        <v>631</v>
      </c>
      <c r="B227" s="7" t="s">
        <v>128</v>
      </c>
      <c r="C227" s="7" t="s">
        <v>22</v>
      </c>
      <c r="D227" s="7" t="s">
        <v>23</v>
      </c>
      <c r="E227" s="7" t="s">
        <v>24</v>
      </c>
      <c r="F227" s="7" t="s">
        <v>133</v>
      </c>
      <c r="G227" s="7">
        <v>90646.1</v>
      </c>
      <c r="H227" s="7" t="s">
        <v>26</v>
      </c>
      <c r="I227" s="7" t="s">
        <v>43</v>
      </c>
      <c r="J227" s="7" t="s">
        <v>28</v>
      </c>
      <c r="K227" s="7" t="s">
        <v>29</v>
      </c>
      <c r="L227" s="7"/>
      <c r="N227" s="2" t="str">
        <f t="shared" si="1"/>
        <v>Sales</v>
      </c>
      <c r="O227" s="6">
        <f>IFERROR(__xludf.DUMMYFUNCTION("IFERROR(
  IF(LEN(TRIM(B227))=6,
    DATE(2000+VALUE(RIGHT(TRIM(B227),2)),MATCH(LEFT(TRIM(B227),3),{""Jan"",""Feb"",""Mar"",""Apr"",""May"",""Jun"",""Jul"",""Aug"",""Sep"",""Oct"",""Nov"",""Dec""},0),15),
  IF(REGEXMATCH(TRIM(B227),""^\d{2}[/-]\d{2}[/-]\d"&amp;"{4}$""),
    DATE(VALUE(RIGHT(TRIM(B227),4)),VALUE(MID(TRIM(B227),4,2)),VALUE(LEFT(TRIM(B227),2))),
  DATEVALUE(TRIM(B227)))),
""CHECK"")"),45306.0)</f>
        <v>45306</v>
      </c>
      <c r="R227" s="2" t="str">
        <f t="shared" si="2"/>
        <v>Jan</v>
      </c>
      <c r="S227" s="2" t="str">
        <f t="shared" si="3"/>
        <v>Q1</v>
      </c>
      <c r="T227" s="2">
        <f t="shared" si="4"/>
        <v>90646.1</v>
      </c>
    </row>
    <row r="228">
      <c r="A228" s="5" t="s">
        <v>632</v>
      </c>
      <c r="B228" s="5" t="s">
        <v>633</v>
      </c>
      <c r="C228" s="5" t="s">
        <v>22</v>
      </c>
      <c r="D228" s="5" t="s">
        <v>62</v>
      </c>
      <c r="E228" s="5" t="s">
        <v>24</v>
      </c>
      <c r="F228" s="5" t="s">
        <v>64</v>
      </c>
      <c r="G228" s="5">
        <v>4507.14</v>
      </c>
      <c r="H228" s="5" t="s">
        <v>26</v>
      </c>
      <c r="I228" s="5" t="s">
        <v>137</v>
      </c>
      <c r="J228" s="5" t="s">
        <v>58</v>
      </c>
      <c r="K228" s="5" t="s">
        <v>59</v>
      </c>
      <c r="L228" s="5"/>
      <c r="N228" s="2" t="str">
        <f t="shared" si="1"/>
        <v>Sales</v>
      </c>
      <c r="O228" s="6">
        <f>IFERROR(__xludf.DUMMYFUNCTION("IFERROR(
  IF(LEN(TRIM(B228))=6,
    DATE(2000+VALUE(RIGHT(TRIM(B228),2)),MATCH(LEFT(TRIM(B228),3),{""Jan"",""Feb"",""Mar"",""Apr"",""May"",""Jun"",""Jul"",""Aug"",""Sep"",""Oct"",""Nov"",""Dec""},0),15),
  IF(REGEXMATCH(TRIM(B228),""^\d{2}[/-]\d{2}[/-]\d"&amp;"{4}$""),
    DATE(VALUE(RIGHT(TRIM(B228),4)),VALUE(MID(TRIM(B228),4,2)),VALUE(LEFT(TRIM(B228),2))),
  DATEVALUE(TRIM(B228)))),
""CHECK"")"),45500.0)</f>
        <v>45500</v>
      </c>
      <c r="R228" s="2" t="str">
        <f t="shared" si="2"/>
        <v>Jul</v>
      </c>
      <c r="S228" s="2" t="str">
        <f t="shared" si="3"/>
        <v>Q3</v>
      </c>
      <c r="T228" s="2">
        <f t="shared" si="4"/>
        <v>4507.14</v>
      </c>
    </row>
    <row r="229">
      <c r="A229" s="7" t="s">
        <v>634</v>
      </c>
      <c r="B229" s="7" t="s">
        <v>635</v>
      </c>
      <c r="C229" s="7" t="s">
        <v>22</v>
      </c>
      <c r="D229" s="7" t="s">
        <v>85</v>
      </c>
      <c r="E229" s="7" t="s">
        <v>63</v>
      </c>
      <c r="F229" s="7" t="s">
        <v>253</v>
      </c>
      <c r="G229" s="7">
        <v>2368.35</v>
      </c>
      <c r="H229" s="7" t="s">
        <v>26</v>
      </c>
      <c r="I229" s="7" t="s">
        <v>137</v>
      </c>
      <c r="J229" s="7" t="s">
        <v>44</v>
      </c>
      <c r="K229" s="7" t="s">
        <v>29</v>
      </c>
      <c r="L229" s="7"/>
      <c r="N229" s="2" t="str">
        <f t="shared" si="1"/>
        <v>Sales</v>
      </c>
      <c r="O229" s="6">
        <f>IFERROR(__xludf.DUMMYFUNCTION("IFERROR(
  IF(LEN(TRIM(B229))=6,
    DATE(2000+VALUE(RIGHT(TRIM(B229),2)),MATCH(LEFT(TRIM(B229),3),{""Jan"",""Feb"",""Mar"",""Apr"",""May"",""Jun"",""Jul"",""Aug"",""Sep"",""Oct"",""Nov"",""Dec""},0),15),
  IF(REGEXMATCH(TRIM(B229),""^\d{2}[/-]\d{2}[/-]\d"&amp;"{4}$""),
    DATE(VALUE(RIGHT(TRIM(B229),4)),VALUE(MID(TRIM(B229),4,2)),VALUE(LEFT(TRIM(B229),2))),
  DATEVALUE(TRIM(B229)))),
""CHECK"")"),45354.0)</f>
        <v>45354</v>
      </c>
      <c r="R229" s="2" t="str">
        <f t="shared" si="2"/>
        <v>Mar</v>
      </c>
      <c r="S229" s="2" t="str">
        <f t="shared" si="3"/>
        <v>Q1</v>
      </c>
      <c r="T229" s="2">
        <f t="shared" si="4"/>
        <v>2368.35</v>
      </c>
    </row>
    <row r="230">
      <c r="A230" s="5" t="s">
        <v>636</v>
      </c>
      <c r="B230" s="5" t="s">
        <v>311</v>
      </c>
      <c r="C230" s="5" t="s">
        <v>22</v>
      </c>
      <c r="D230" s="5" t="s">
        <v>23</v>
      </c>
      <c r="E230" s="5" t="s">
        <v>111</v>
      </c>
      <c r="F230" s="5" t="s">
        <v>25</v>
      </c>
      <c r="G230" s="5">
        <v>194869.55</v>
      </c>
      <c r="H230" s="5" t="s">
        <v>26</v>
      </c>
      <c r="I230" s="5" t="s">
        <v>134</v>
      </c>
      <c r="J230" s="5" t="s">
        <v>49</v>
      </c>
      <c r="K230" s="5" t="s">
        <v>39</v>
      </c>
      <c r="L230" s="5"/>
      <c r="N230" s="2" t="str">
        <f t="shared" si="1"/>
        <v>Sales</v>
      </c>
      <c r="O230" s="6">
        <f>IFERROR(__xludf.DUMMYFUNCTION("IFERROR(
  IF(LEN(TRIM(B230))=6,
    DATE(2000+VALUE(RIGHT(TRIM(B230),2)),MATCH(LEFT(TRIM(B230),3),{""Jan"",""Feb"",""Mar"",""Apr"",""May"",""Jun"",""Jul"",""Aug"",""Sep"",""Oct"",""Nov"",""Dec""},0),15),
  IF(REGEXMATCH(TRIM(B230),""^\d{2}[/-]\d{2}[/-]\d"&amp;"{4}$""),
    DATE(VALUE(RIGHT(TRIM(B230),4)),VALUE(MID(TRIM(B230),4,2)),VALUE(LEFT(TRIM(B230),2))),
  DATEVALUE(TRIM(B230)))),
""CHECK"")"),45580.0)</f>
        <v>45580</v>
      </c>
      <c r="R230" s="2" t="str">
        <f t="shared" si="2"/>
        <v>Oct</v>
      </c>
      <c r="S230" s="2" t="str">
        <f t="shared" si="3"/>
        <v>Q4</v>
      </c>
      <c r="T230" s="2">
        <f t="shared" si="4"/>
        <v>194869.55</v>
      </c>
    </row>
    <row r="231">
      <c r="A231" s="7" t="s">
        <v>637</v>
      </c>
      <c r="B231" s="7" t="s">
        <v>89</v>
      </c>
      <c r="C231" s="7" t="s">
        <v>34</v>
      </c>
      <c r="D231" s="7" t="s">
        <v>82</v>
      </c>
      <c r="E231" s="7" t="s">
        <v>82</v>
      </c>
      <c r="F231" s="7" t="s">
        <v>570</v>
      </c>
      <c r="G231" s="7">
        <v>13862.94</v>
      </c>
      <c r="H231" s="7" t="s">
        <v>26</v>
      </c>
      <c r="I231" s="7" t="s">
        <v>206</v>
      </c>
      <c r="J231" s="7" t="s">
        <v>73</v>
      </c>
      <c r="K231" s="7" t="s">
        <v>59</v>
      </c>
      <c r="L231" s="7"/>
      <c r="N231" s="2" t="str">
        <f t="shared" si="1"/>
        <v>Engineering</v>
      </c>
      <c r="O231" s="6">
        <f>IFERROR(__xludf.DUMMYFUNCTION("IFERROR(
  IF(LEN(TRIM(B231))=6,
    DATE(2000+VALUE(RIGHT(TRIM(B231),2)),MATCH(LEFT(TRIM(B231),3),{""Jan"",""Feb"",""Mar"",""Apr"",""May"",""Jun"",""Jul"",""Aug"",""Sep"",""Oct"",""Nov"",""Dec""},0),15),
  IF(REGEXMATCH(TRIM(B231),""^\d{2}[/-]\d{2}[/-]\d"&amp;"{4}$""),
    DATE(VALUE(RIGHT(TRIM(B231),4)),VALUE(MID(TRIM(B231),4,2)),VALUE(LEFT(TRIM(B231),2))),
  DATEVALUE(TRIM(B231)))),
""CHECK"")"),45550.0)</f>
        <v>45550</v>
      </c>
      <c r="R231" s="2" t="str">
        <f t="shared" si="2"/>
        <v>Sep</v>
      </c>
      <c r="S231" s="2" t="str">
        <f t="shared" si="3"/>
        <v>Q3</v>
      </c>
      <c r="T231" s="2">
        <f t="shared" si="4"/>
        <v>13862.94</v>
      </c>
    </row>
    <row r="232">
      <c r="A232" s="5" t="s">
        <v>638</v>
      </c>
      <c r="B232" s="5" t="s">
        <v>639</v>
      </c>
      <c r="C232" s="5" t="s">
        <v>34</v>
      </c>
      <c r="D232" s="5" t="s">
        <v>111</v>
      </c>
      <c r="E232" s="5" t="s">
        <v>111</v>
      </c>
      <c r="F232" s="5" t="s">
        <v>640</v>
      </c>
      <c r="G232" s="5">
        <v>49175.12</v>
      </c>
      <c r="H232" s="5" t="s">
        <v>26</v>
      </c>
      <c r="I232" s="5" t="s">
        <v>37</v>
      </c>
      <c r="J232" s="5" t="s">
        <v>58</v>
      </c>
      <c r="K232" s="5" t="s">
        <v>59</v>
      </c>
      <c r="L232" s="5"/>
      <c r="N232" s="2" t="str">
        <f t="shared" si="1"/>
        <v>Sales</v>
      </c>
      <c r="O232" s="6">
        <f>IFERROR(__xludf.DUMMYFUNCTION("IFERROR(
  IF(LEN(TRIM(B232))=6,
    DATE(2000+VALUE(RIGHT(TRIM(B232),2)),MATCH(LEFT(TRIM(B232),3),{""Jan"",""Feb"",""Mar"",""Apr"",""May"",""Jun"",""Jul"",""Aug"",""Sep"",""Oct"",""Nov"",""Dec""},0),15),
  IF(REGEXMATCH(TRIM(B232),""^\d{2}[/-]\d{2}[/-]\d"&amp;"{4}$""),
    DATE(VALUE(RIGHT(TRIM(B232),4)),VALUE(MID(TRIM(B232),4,2)),VALUE(LEFT(TRIM(B232),2))),
  DATEVALUE(TRIM(B232)))),
""CHECK"")"),45479.0)</f>
        <v>45479</v>
      </c>
      <c r="R232" s="2" t="str">
        <f t="shared" si="2"/>
        <v>Jul</v>
      </c>
      <c r="S232" s="2" t="str">
        <f t="shared" si="3"/>
        <v>Q3</v>
      </c>
      <c r="T232" s="2">
        <f t="shared" si="4"/>
        <v>49175.12</v>
      </c>
    </row>
    <row r="233">
      <c r="A233" s="7" t="s">
        <v>641</v>
      </c>
      <c r="B233" s="7" t="s">
        <v>413</v>
      </c>
      <c r="C233" s="7" t="s">
        <v>22</v>
      </c>
      <c r="D233" s="7" t="s">
        <v>85</v>
      </c>
      <c r="E233" s="7" t="s">
        <v>24</v>
      </c>
      <c r="F233" s="7" t="s">
        <v>494</v>
      </c>
      <c r="G233" s="7">
        <v>14837.5</v>
      </c>
      <c r="H233" s="7" t="s">
        <v>26</v>
      </c>
      <c r="I233" s="7" t="s">
        <v>27</v>
      </c>
      <c r="J233" s="7" t="s">
        <v>87</v>
      </c>
      <c r="K233" s="7" t="s">
        <v>67</v>
      </c>
      <c r="L233" s="7"/>
      <c r="N233" s="2" t="str">
        <f t="shared" si="1"/>
        <v>Sales</v>
      </c>
      <c r="O233" s="6">
        <f>IFERROR(__xludf.DUMMYFUNCTION("IFERROR(
  IF(LEN(TRIM(B233))=6,
    DATE(2000+VALUE(RIGHT(TRIM(B233),2)),MATCH(LEFT(TRIM(B233),3),{""Jan"",""Feb"",""Mar"",""Apr"",""May"",""Jun"",""Jul"",""Aug"",""Sep"",""Oct"",""Nov"",""Dec""},0),15),
  IF(REGEXMATCH(TRIM(B233),""^\d{2}[/-]\d{2}[/-]\d"&amp;"{4}$""),
    DATE(VALUE(RIGHT(TRIM(B233),4)),VALUE(MID(TRIM(B233),4,2)),VALUE(LEFT(TRIM(B233),2))),
  DATEVALUE(TRIM(B233)))),
""CHECK"")"),45413.0)</f>
        <v>45413</v>
      </c>
      <c r="R233" s="2" t="str">
        <f t="shared" si="2"/>
        <v>May</v>
      </c>
      <c r="S233" s="2" t="str">
        <f t="shared" si="3"/>
        <v>Q2</v>
      </c>
      <c r="T233" s="2">
        <f t="shared" si="4"/>
        <v>14837.5</v>
      </c>
    </row>
    <row r="234">
      <c r="A234" s="5" t="s">
        <v>642</v>
      </c>
      <c r="B234" s="5" t="s">
        <v>89</v>
      </c>
      <c r="C234" s="5" t="s">
        <v>34</v>
      </c>
      <c r="D234" s="5" t="s">
        <v>111</v>
      </c>
      <c r="E234" s="5" t="s">
        <v>24</v>
      </c>
      <c r="F234" s="5" t="s">
        <v>180</v>
      </c>
      <c r="G234" s="5">
        <v>12223.72</v>
      </c>
      <c r="H234" s="5" t="s">
        <v>26</v>
      </c>
      <c r="I234" s="5" t="s">
        <v>147</v>
      </c>
      <c r="J234" s="5" t="s">
        <v>73</v>
      </c>
      <c r="K234" s="5" t="s">
        <v>59</v>
      </c>
      <c r="L234" s="5"/>
      <c r="N234" s="2" t="str">
        <f t="shared" si="1"/>
        <v>Sales</v>
      </c>
      <c r="O234" s="6">
        <f>IFERROR(__xludf.DUMMYFUNCTION("IFERROR(
  IF(LEN(TRIM(B234))=6,
    DATE(2000+VALUE(RIGHT(TRIM(B234),2)),MATCH(LEFT(TRIM(B234),3),{""Jan"",""Feb"",""Mar"",""Apr"",""May"",""Jun"",""Jul"",""Aug"",""Sep"",""Oct"",""Nov"",""Dec""},0),15),
  IF(REGEXMATCH(TRIM(B234),""^\d{2}[/-]\d{2}[/-]\d"&amp;"{4}$""),
    DATE(VALUE(RIGHT(TRIM(B234),4)),VALUE(MID(TRIM(B234),4,2)),VALUE(LEFT(TRIM(B234),2))),
  DATEVALUE(TRIM(B234)))),
""CHECK"")"),45550.0)</f>
        <v>45550</v>
      </c>
      <c r="R234" s="2" t="str">
        <f t="shared" si="2"/>
        <v>Sep</v>
      </c>
      <c r="S234" s="2" t="str">
        <f t="shared" si="3"/>
        <v>Q3</v>
      </c>
      <c r="T234" s="2">
        <f t="shared" si="4"/>
        <v>12223.72</v>
      </c>
    </row>
    <row r="235">
      <c r="A235" s="7" t="s">
        <v>643</v>
      </c>
      <c r="B235" s="7" t="s">
        <v>644</v>
      </c>
      <c r="C235" s="7" t="s">
        <v>34</v>
      </c>
      <c r="D235" s="7" t="s">
        <v>82</v>
      </c>
      <c r="E235" s="7" t="s">
        <v>418</v>
      </c>
      <c r="F235" s="7" t="s">
        <v>530</v>
      </c>
      <c r="G235" s="7">
        <v>13352.11</v>
      </c>
      <c r="H235" s="7" t="s">
        <v>26</v>
      </c>
      <c r="I235" s="7" t="s">
        <v>103</v>
      </c>
      <c r="J235" s="7" t="s">
        <v>73</v>
      </c>
      <c r="K235" s="7" t="s">
        <v>59</v>
      </c>
      <c r="L235" s="7"/>
      <c r="N235" s="2" t="str">
        <f t="shared" si="1"/>
        <v>Engineering</v>
      </c>
      <c r="O235" s="6">
        <f>IFERROR(__xludf.DUMMYFUNCTION("IFERROR(
  IF(LEN(TRIM(B235))=6,
    DATE(2000+VALUE(RIGHT(TRIM(B235),2)),MATCH(LEFT(TRIM(B235),3),{""Jan"",""Feb"",""Mar"",""Apr"",""May"",""Jun"",""Jul"",""Aug"",""Sep"",""Oct"",""Nov"",""Dec""},0),15),
  IF(REGEXMATCH(TRIM(B235),""^\d{2}[/-]\d{2}[/-]\d"&amp;"{4}$""),
    DATE(VALUE(RIGHT(TRIM(B235),4)),VALUE(MID(TRIM(B235),4,2)),VALUE(LEFT(TRIM(B235),2))),
  DATEVALUE(TRIM(B235)))),
""CHECK"")"),45331.0)</f>
        <v>45331</v>
      </c>
      <c r="R235" s="2" t="str">
        <f t="shared" si="2"/>
        <v>Feb</v>
      </c>
      <c r="S235" s="2" t="str">
        <f t="shared" si="3"/>
        <v>Q1</v>
      </c>
      <c r="T235" s="2">
        <f t="shared" si="4"/>
        <v>13352.11</v>
      </c>
    </row>
    <row r="236">
      <c r="A236" s="5" t="s">
        <v>645</v>
      </c>
      <c r="B236" s="5" t="s">
        <v>646</v>
      </c>
      <c r="C236" s="5" t="s">
        <v>34</v>
      </c>
      <c r="D236" s="5" t="s">
        <v>54</v>
      </c>
      <c r="E236" s="5" t="s">
        <v>130</v>
      </c>
      <c r="F236" s="5" t="s">
        <v>446</v>
      </c>
      <c r="G236" s="5">
        <v>49832.06</v>
      </c>
      <c r="H236" s="5" t="s">
        <v>26</v>
      </c>
      <c r="I236" s="5" t="s">
        <v>168</v>
      </c>
      <c r="J236" s="5" t="s">
        <v>28</v>
      </c>
      <c r="K236" s="5" t="s">
        <v>29</v>
      </c>
      <c r="L236" s="5"/>
      <c r="N236" s="2" t="str">
        <f t="shared" si="1"/>
        <v>Marketing</v>
      </c>
      <c r="O236" s="6">
        <f>IFERROR(__xludf.DUMMYFUNCTION("IFERROR(
  IF(LEN(TRIM(B236))=6,
    DATE(2000+VALUE(RIGHT(TRIM(B236),2)),MATCH(LEFT(TRIM(B236),3),{""Jan"",""Feb"",""Mar"",""Apr"",""May"",""Jun"",""Jul"",""Aug"",""Sep"",""Oct"",""Nov"",""Dec""},0),15),
  IF(REGEXMATCH(TRIM(B236),""^\d{2}[/-]\d{2}[/-]\d"&amp;"{4}$""),
    DATE(VALUE(RIGHT(TRIM(B236),4)),VALUE(MID(TRIM(B236),4,2)),VALUE(LEFT(TRIM(B236),2))),
  DATEVALUE(TRIM(B236)))),
""CHECK"")"),45321.0)</f>
        <v>45321</v>
      </c>
      <c r="R236" s="2" t="str">
        <f t="shared" si="2"/>
        <v>Jan</v>
      </c>
      <c r="S236" s="2" t="str">
        <f t="shared" si="3"/>
        <v>Q1</v>
      </c>
      <c r="T236" s="2">
        <f t="shared" si="4"/>
        <v>49832.06</v>
      </c>
    </row>
    <row r="237">
      <c r="A237" s="7" t="s">
        <v>647</v>
      </c>
      <c r="B237" s="7" t="s">
        <v>648</v>
      </c>
      <c r="C237" s="7" t="s">
        <v>34</v>
      </c>
      <c r="D237" s="7" t="s">
        <v>54</v>
      </c>
      <c r="E237" s="7" t="s">
        <v>130</v>
      </c>
      <c r="F237" s="7" t="s">
        <v>649</v>
      </c>
      <c r="G237" s="7">
        <v>49637.84</v>
      </c>
      <c r="H237" s="7" t="s">
        <v>26</v>
      </c>
      <c r="I237" s="7" t="s">
        <v>80</v>
      </c>
      <c r="J237" s="7" t="s">
        <v>113</v>
      </c>
      <c r="K237" s="7" t="s">
        <v>67</v>
      </c>
      <c r="L237" s="7"/>
      <c r="N237" s="2" t="str">
        <f t="shared" si="1"/>
        <v>Marketing</v>
      </c>
      <c r="O237" s="6">
        <f>IFERROR(__xludf.DUMMYFUNCTION("IFERROR(
  IF(LEN(TRIM(B237))=6,
    DATE(2000+VALUE(RIGHT(TRIM(B237),2)),MATCH(LEFT(TRIM(B237),3),{""Jan"",""Feb"",""Mar"",""Apr"",""May"",""Jun"",""Jul"",""Aug"",""Sep"",""Oct"",""Nov"",""Dec""},0),15),
  IF(REGEXMATCH(TRIM(B237),""^\d{2}[/-]\d{2}[/-]\d"&amp;"{4}$""),
    DATE(VALUE(RIGHT(TRIM(B237),4)),VALUE(MID(TRIM(B237),4,2)),VALUE(LEFT(TRIM(B237),2))),
  DATEVALUE(TRIM(B237)))),
""CHECK"")"),45454.0)</f>
        <v>45454</v>
      </c>
      <c r="R237" s="2" t="str">
        <f t="shared" si="2"/>
        <v>Jun</v>
      </c>
      <c r="S237" s="2" t="str">
        <f t="shared" si="3"/>
        <v>Q2</v>
      </c>
      <c r="T237" s="2">
        <f t="shared" si="4"/>
        <v>49637.84</v>
      </c>
    </row>
    <row r="238">
      <c r="A238" s="5" t="s">
        <v>650</v>
      </c>
      <c r="B238" s="5" t="s">
        <v>651</v>
      </c>
      <c r="C238" s="5" t="s">
        <v>34</v>
      </c>
      <c r="D238" s="5" t="s">
        <v>82</v>
      </c>
      <c r="E238" s="5" t="s">
        <v>94</v>
      </c>
      <c r="F238" s="5" t="s">
        <v>597</v>
      </c>
      <c r="G238" s="5">
        <v>19165.74</v>
      </c>
      <c r="H238" s="5" t="s">
        <v>26</v>
      </c>
      <c r="I238" s="5" t="s">
        <v>168</v>
      </c>
      <c r="J238" s="5" t="s">
        <v>73</v>
      </c>
      <c r="K238" s="5" t="s">
        <v>59</v>
      </c>
      <c r="L238" s="5"/>
      <c r="N238" s="2" t="str">
        <f t="shared" si="1"/>
        <v>Engineering</v>
      </c>
      <c r="O238" s="6">
        <f>IFERROR(__xludf.DUMMYFUNCTION("IFERROR(
  IF(LEN(TRIM(B238))=6,
    DATE(2000+VALUE(RIGHT(TRIM(B238),2)),MATCH(LEFT(TRIM(B238),3),{""Jan"",""Feb"",""Mar"",""Apr"",""May"",""Jun"",""Jul"",""Aug"",""Sep"",""Oct"",""Nov"",""Dec""},0),15),
  IF(REGEXMATCH(TRIM(B238),""^\d{2}[/-]\d{2}[/-]\d"&amp;"{4}$""),
    DATE(VALUE(RIGHT(TRIM(B238),4)),VALUE(MID(TRIM(B238),4,2)),VALUE(LEFT(TRIM(B238),2))),
  DATEVALUE(TRIM(B238)))),
""CHECK"")"),46000.0)</f>
        <v>46000</v>
      </c>
      <c r="R238" s="2" t="str">
        <f t="shared" si="2"/>
        <v>Dec</v>
      </c>
      <c r="S238" s="2" t="str">
        <f t="shared" si="3"/>
        <v>Q4</v>
      </c>
      <c r="T238" s="2">
        <f t="shared" si="4"/>
        <v>19165.74</v>
      </c>
    </row>
    <row r="239">
      <c r="A239" s="7" t="s">
        <v>652</v>
      </c>
      <c r="B239" s="7" t="s">
        <v>653</v>
      </c>
      <c r="C239" s="7" t="s">
        <v>22</v>
      </c>
      <c r="D239" s="7" t="s">
        <v>23</v>
      </c>
      <c r="E239" s="7" t="s">
        <v>111</v>
      </c>
      <c r="F239" s="7" t="s">
        <v>25</v>
      </c>
      <c r="G239" s="7">
        <v>99375.27</v>
      </c>
      <c r="H239" s="7" t="s">
        <v>26</v>
      </c>
      <c r="I239" s="7" t="s">
        <v>65</v>
      </c>
      <c r="J239" s="7" t="s">
        <v>126</v>
      </c>
      <c r="K239" s="7" t="s">
        <v>29</v>
      </c>
      <c r="L239" s="7"/>
      <c r="N239" s="2" t="str">
        <f t="shared" si="1"/>
        <v>Sales</v>
      </c>
      <c r="O239" s="6">
        <f>IFERROR(__xludf.DUMMYFUNCTION("IFERROR(
  IF(LEN(TRIM(B239))=6,
    DATE(2000+VALUE(RIGHT(TRIM(B239),2)),MATCH(LEFT(TRIM(B239),3),{""Jan"",""Feb"",""Mar"",""Apr"",""May"",""Jun"",""Jul"",""Aug"",""Sep"",""Oct"",""Nov"",""Dec""},0),15),
  IF(REGEXMATCH(TRIM(B239),""^\d{2}[/-]\d{2}[/-]\d"&amp;"{4}$""),
    DATE(VALUE(RIGHT(TRIM(B239),4)),VALUE(MID(TRIM(B239),4,2)),VALUE(LEFT(TRIM(B239),2))),
  DATEVALUE(TRIM(B239)))),
""CHECK"")"),45337.0)</f>
        <v>45337</v>
      </c>
      <c r="R239" s="2" t="str">
        <f t="shared" si="2"/>
        <v>Feb</v>
      </c>
      <c r="S239" s="2" t="str">
        <f t="shared" si="3"/>
        <v>Q1</v>
      </c>
      <c r="T239" s="2">
        <f t="shared" si="4"/>
        <v>99375.27</v>
      </c>
    </row>
    <row r="240">
      <c r="A240" s="5" t="s">
        <v>654</v>
      </c>
      <c r="B240" s="5" t="s">
        <v>655</v>
      </c>
      <c r="C240" s="5" t="s">
        <v>34</v>
      </c>
      <c r="D240" s="5" t="s">
        <v>51</v>
      </c>
      <c r="E240" s="5" t="s">
        <v>50</v>
      </c>
      <c r="F240" s="5" t="s">
        <v>656</v>
      </c>
      <c r="G240" s="5">
        <v>18393.23</v>
      </c>
      <c r="H240" s="5" t="s">
        <v>26</v>
      </c>
      <c r="I240" s="5" t="s">
        <v>141</v>
      </c>
      <c r="J240" s="5" t="s">
        <v>108</v>
      </c>
      <c r="K240" s="5" t="s">
        <v>59</v>
      </c>
      <c r="L240" s="5"/>
      <c r="N240" s="2" t="str">
        <f t="shared" si="1"/>
        <v>Customer Success</v>
      </c>
      <c r="O240" s="6">
        <f>IFERROR(__xludf.DUMMYFUNCTION("IFERROR(
  IF(LEN(TRIM(B240))=6,
    DATE(2000+VALUE(RIGHT(TRIM(B240),2)),MATCH(LEFT(TRIM(B240),3),{""Jan"",""Feb"",""Mar"",""Apr"",""May"",""Jun"",""Jul"",""Aug"",""Sep"",""Oct"",""Nov"",""Dec""},0),15),
  IF(REGEXMATCH(TRIM(B240),""^\d{2}[/-]\d{2}[/-]\d"&amp;"{4}$""),
    DATE(VALUE(RIGHT(TRIM(B240),4)),VALUE(MID(TRIM(B240),4,2)),VALUE(LEFT(TRIM(B240),2))),
  DATEVALUE(TRIM(B240)))),
""CHECK"")"),45522.0)</f>
        <v>45522</v>
      </c>
      <c r="R240" s="2" t="str">
        <f t="shared" si="2"/>
        <v>Aug</v>
      </c>
      <c r="S240" s="2" t="str">
        <f t="shared" si="3"/>
        <v>Q3</v>
      </c>
      <c r="T240" s="2">
        <f t="shared" si="4"/>
        <v>18393.23</v>
      </c>
    </row>
    <row r="241">
      <c r="A241" s="7" t="s">
        <v>657</v>
      </c>
      <c r="B241" s="7" t="s">
        <v>106</v>
      </c>
      <c r="C241" s="7" t="s">
        <v>34</v>
      </c>
      <c r="D241" s="7" t="s">
        <v>54</v>
      </c>
      <c r="E241" s="7" t="s">
        <v>124</v>
      </c>
      <c r="F241" s="7" t="s">
        <v>102</v>
      </c>
      <c r="G241" s="7">
        <v>55473.4</v>
      </c>
      <c r="H241" s="7" t="s">
        <v>26</v>
      </c>
      <c r="I241" s="7" t="s">
        <v>103</v>
      </c>
      <c r="J241" s="7" t="s">
        <v>108</v>
      </c>
      <c r="K241" s="7" t="s">
        <v>59</v>
      </c>
      <c r="L241" s="7"/>
      <c r="N241" s="2" t="str">
        <f t="shared" si="1"/>
        <v>Marketing</v>
      </c>
      <c r="O241" s="6">
        <f>IFERROR(__xludf.DUMMYFUNCTION("IFERROR(
  IF(LEN(TRIM(B241))=6,
    DATE(2000+VALUE(RIGHT(TRIM(B241),2)),MATCH(LEFT(TRIM(B241),3),{""Jan"",""Feb"",""Mar"",""Apr"",""May"",""Jun"",""Jul"",""Aug"",""Sep"",""Oct"",""Nov"",""Dec""},0),15),
  IF(REGEXMATCH(TRIM(B241),""^\d{2}[/-]\d{2}[/-]\d"&amp;"{4}$""),
    DATE(VALUE(RIGHT(TRIM(B241),4)),VALUE(MID(TRIM(B241),4,2)),VALUE(LEFT(TRIM(B241),2))),
  DATEVALUE(TRIM(B241)))),
""CHECK"")"),45519.0)</f>
        <v>45519</v>
      </c>
      <c r="R241" s="2" t="str">
        <f t="shared" si="2"/>
        <v>Aug</v>
      </c>
      <c r="S241" s="2" t="str">
        <f t="shared" si="3"/>
        <v>Q3</v>
      </c>
      <c r="T241" s="2">
        <f t="shared" si="4"/>
        <v>55473.4</v>
      </c>
    </row>
    <row r="242">
      <c r="A242" s="5" t="s">
        <v>658</v>
      </c>
      <c r="B242" s="5" t="s">
        <v>659</v>
      </c>
      <c r="C242" s="5" t="s">
        <v>34</v>
      </c>
      <c r="D242" s="5" t="s">
        <v>54</v>
      </c>
      <c r="E242" s="5" t="s">
        <v>196</v>
      </c>
      <c r="F242" s="5" t="s">
        <v>112</v>
      </c>
      <c r="G242" s="5">
        <v>22588.04</v>
      </c>
      <c r="H242" s="5" t="s">
        <v>26</v>
      </c>
      <c r="I242" s="5" t="s">
        <v>57</v>
      </c>
      <c r="J242" s="5" t="s">
        <v>126</v>
      </c>
      <c r="K242" s="5" t="s">
        <v>29</v>
      </c>
      <c r="L242" s="5"/>
      <c r="N242" s="2" t="str">
        <f t="shared" si="1"/>
        <v>Marketing</v>
      </c>
      <c r="O242" s="6">
        <f>IFERROR(__xludf.DUMMYFUNCTION("IFERROR(
  IF(LEN(TRIM(B242))=6,
    DATE(2000+VALUE(RIGHT(TRIM(B242),2)),MATCH(LEFT(TRIM(B242),3),{""Jan"",""Feb"",""Mar"",""Apr"",""May"",""Jun"",""Jul"",""Aug"",""Sep"",""Oct"",""Nov"",""Dec""},0),15),
  IF(REGEXMATCH(TRIM(B242),""^\d{2}[/-]\d{2}[/-]\d"&amp;"{4}$""),
    DATE(VALUE(RIGHT(TRIM(B242),4)),VALUE(MID(TRIM(B242),4,2)),VALUE(LEFT(TRIM(B242),2))),
  DATEVALUE(TRIM(B242)))),
""CHECK"")"),45328.0)</f>
        <v>45328</v>
      </c>
      <c r="R242" s="2" t="str">
        <f t="shared" si="2"/>
        <v>Feb</v>
      </c>
      <c r="S242" s="2" t="str">
        <f t="shared" si="3"/>
        <v>Q1</v>
      </c>
      <c r="T242" s="2">
        <f t="shared" si="4"/>
        <v>22588.04</v>
      </c>
    </row>
    <row r="243">
      <c r="A243" s="7" t="s">
        <v>660</v>
      </c>
      <c r="B243" s="7" t="s">
        <v>89</v>
      </c>
      <c r="C243" s="7" t="s">
        <v>34</v>
      </c>
      <c r="D243" s="7" t="s">
        <v>51</v>
      </c>
      <c r="E243" s="7" t="s">
        <v>50</v>
      </c>
      <c r="F243" s="7" t="s">
        <v>397</v>
      </c>
      <c r="G243" s="7">
        <v>9794.07</v>
      </c>
      <c r="H243" s="7" t="s">
        <v>26</v>
      </c>
      <c r="I243" s="7" t="s">
        <v>168</v>
      </c>
      <c r="J243" s="7" t="s">
        <v>73</v>
      </c>
      <c r="K243" s="7" t="s">
        <v>59</v>
      </c>
      <c r="L243" s="7"/>
      <c r="N243" s="2" t="str">
        <f t="shared" si="1"/>
        <v>Customer Success</v>
      </c>
      <c r="O243" s="6">
        <f>IFERROR(__xludf.DUMMYFUNCTION("IFERROR(
  IF(LEN(TRIM(B243))=6,
    DATE(2000+VALUE(RIGHT(TRIM(B243),2)),MATCH(LEFT(TRIM(B243),3),{""Jan"",""Feb"",""Mar"",""Apr"",""May"",""Jun"",""Jul"",""Aug"",""Sep"",""Oct"",""Nov"",""Dec""},0),15),
  IF(REGEXMATCH(TRIM(B243),""^\d{2}[/-]\d{2}[/-]\d"&amp;"{4}$""),
    DATE(VALUE(RIGHT(TRIM(B243),4)),VALUE(MID(TRIM(B243),4,2)),VALUE(LEFT(TRIM(B243),2))),
  DATEVALUE(TRIM(B243)))),
""CHECK"")"),45550.0)</f>
        <v>45550</v>
      </c>
      <c r="R243" s="2" t="str">
        <f t="shared" si="2"/>
        <v>Sep</v>
      </c>
      <c r="S243" s="2" t="str">
        <f t="shared" si="3"/>
        <v>Q3</v>
      </c>
      <c r="T243" s="2">
        <f t="shared" si="4"/>
        <v>9794.07</v>
      </c>
    </row>
    <row r="244">
      <c r="A244" s="5" t="s">
        <v>661</v>
      </c>
      <c r="B244" s="5" t="s">
        <v>662</v>
      </c>
      <c r="C244" s="5" t="s">
        <v>22</v>
      </c>
      <c r="D244" s="5" t="s">
        <v>85</v>
      </c>
      <c r="E244" s="5" t="s">
        <v>24</v>
      </c>
      <c r="F244" s="5" t="s">
        <v>253</v>
      </c>
      <c r="G244" s="5">
        <v>24341.43</v>
      </c>
      <c r="H244" s="5" t="s">
        <v>26</v>
      </c>
      <c r="I244" s="5" t="s">
        <v>137</v>
      </c>
      <c r="J244" s="5" t="s">
        <v>142</v>
      </c>
      <c r="K244" s="5" t="s">
        <v>39</v>
      </c>
      <c r="L244" s="5"/>
      <c r="N244" s="2" t="str">
        <f t="shared" si="1"/>
        <v>Sales</v>
      </c>
      <c r="O244" s="6">
        <f>IFERROR(__xludf.DUMMYFUNCTION("IFERROR(
  IF(LEN(TRIM(B244))=6,
    DATE(2000+VALUE(RIGHT(TRIM(B244),2)),MATCH(LEFT(TRIM(B244),3),{""Jan"",""Feb"",""Mar"",""Apr"",""May"",""Jun"",""Jul"",""Aug"",""Sep"",""Oct"",""Nov"",""Dec""},0),15),
  IF(REGEXMATCH(TRIM(B244),""^\d{2}[/-]\d{2}[/-]\d"&amp;"{4}$""),
    DATE(VALUE(RIGHT(TRIM(B244),4)),VALUE(MID(TRIM(B244),4,2)),VALUE(LEFT(TRIM(B244),2))),
  DATEVALUE(TRIM(B244)))),
""CHECK"")"),45617.0)</f>
        <v>45617</v>
      </c>
      <c r="R244" s="2" t="str">
        <f t="shared" si="2"/>
        <v>Nov</v>
      </c>
      <c r="S244" s="2" t="str">
        <f t="shared" si="3"/>
        <v>Q4</v>
      </c>
      <c r="T244" s="2">
        <f t="shared" si="4"/>
        <v>24341.43</v>
      </c>
    </row>
    <row r="245">
      <c r="A245" s="7" t="s">
        <v>663</v>
      </c>
      <c r="B245" s="7" t="s">
        <v>664</v>
      </c>
      <c r="C245" s="7" t="s">
        <v>22</v>
      </c>
      <c r="D245" s="7" t="s">
        <v>85</v>
      </c>
      <c r="E245" s="7" t="s">
        <v>97</v>
      </c>
      <c r="F245" s="7" t="s">
        <v>240</v>
      </c>
      <c r="G245" s="7">
        <v>23976.26</v>
      </c>
      <c r="H245" s="7" t="s">
        <v>26</v>
      </c>
      <c r="I245" s="7" t="s">
        <v>65</v>
      </c>
      <c r="J245" s="7" t="s">
        <v>38</v>
      </c>
      <c r="K245" s="7" t="s">
        <v>39</v>
      </c>
      <c r="L245" s="7"/>
      <c r="N245" s="2" t="str">
        <f t="shared" si="1"/>
        <v>Sales</v>
      </c>
      <c r="O245" s="6">
        <f>IFERROR(__xludf.DUMMYFUNCTION("IFERROR(
  IF(LEN(TRIM(B245))=6,
    DATE(2000+VALUE(RIGHT(TRIM(B245),2)),MATCH(LEFT(TRIM(B245),3),{""Jan"",""Feb"",""Mar"",""Apr"",""May"",""Jun"",""Jul"",""Aug"",""Sep"",""Oct"",""Nov"",""Dec""},0),15),
  IF(REGEXMATCH(TRIM(B245),""^\d{2}[/-]\d{2}[/-]\d"&amp;"{4}$""),
    DATE(VALUE(RIGHT(TRIM(B245),4)),VALUE(MID(TRIM(B245),4,2)),VALUE(LEFT(TRIM(B245),2))),
  DATEVALUE(TRIM(B245)))),
""CHECK"")"),45652.0)</f>
        <v>45652</v>
      </c>
      <c r="R245" s="2" t="str">
        <f t="shared" si="2"/>
        <v>Dec</v>
      </c>
      <c r="S245" s="2" t="str">
        <f t="shared" si="3"/>
        <v>Q4</v>
      </c>
      <c r="T245" s="2">
        <f t="shared" si="4"/>
        <v>23976.26</v>
      </c>
    </row>
    <row r="246">
      <c r="A246" s="5" t="s">
        <v>665</v>
      </c>
      <c r="B246" s="5" t="s">
        <v>666</v>
      </c>
      <c r="C246" s="5" t="s">
        <v>34</v>
      </c>
      <c r="D246" s="5" t="s">
        <v>31</v>
      </c>
      <c r="E246" s="5" t="s">
        <v>30</v>
      </c>
      <c r="F246" s="5" t="s">
        <v>107</v>
      </c>
      <c r="G246" s="5">
        <v>13245.11</v>
      </c>
      <c r="H246" s="5" t="s">
        <v>26</v>
      </c>
      <c r="I246" s="5" t="s">
        <v>37</v>
      </c>
      <c r="J246" s="5" t="s">
        <v>28</v>
      </c>
      <c r="K246" s="5" t="s">
        <v>29</v>
      </c>
      <c r="L246" s="5"/>
      <c r="N246" s="2" t="str">
        <f t="shared" si="1"/>
        <v>Cloud Infrastructure</v>
      </c>
      <c r="O246" s="6">
        <f>IFERROR(__xludf.DUMMYFUNCTION("IFERROR(
  IF(LEN(TRIM(B246))=6,
    DATE(2000+VALUE(RIGHT(TRIM(B246),2)),MATCH(LEFT(TRIM(B246),3),{""Jan"",""Feb"",""Mar"",""Apr"",""May"",""Jun"",""Jul"",""Aug"",""Sep"",""Oct"",""Nov"",""Dec""},0),15),
  IF(REGEXMATCH(TRIM(B246),""^\d{2}[/-]\d{2}[/-]\d"&amp;"{4}$""),
    DATE(VALUE(RIGHT(TRIM(B246),4)),VALUE(MID(TRIM(B246),4,2)),VALUE(LEFT(TRIM(B246),2))),
  DATEVALUE(TRIM(B246)))),
""CHECK"")"),45293.0)</f>
        <v>45293</v>
      </c>
      <c r="R246" s="2" t="str">
        <f t="shared" si="2"/>
        <v>Jan</v>
      </c>
      <c r="S246" s="2" t="str">
        <f t="shared" si="3"/>
        <v>Q1</v>
      </c>
      <c r="T246" s="2">
        <f t="shared" si="4"/>
        <v>13245.11</v>
      </c>
    </row>
    <row r="247">
      <c r="A247" s="7" t="s">
        <v>667</v>
      </c>
      <c r="B247" s="7" t="s">
        <v>668</v>
      </c>
      <c r="C247" s="7" t="s">
        <v>34</v>
      </c>
      <c r="D247" s="7" t="s">
        <v>82</v>
      </c>
      <c r="E247" s="7" t="s">
        <v>82</v>
      </c>
      <c r="F247" s="7" t="s">
        <v>209</v>
      </c>
      <c r="G247" s="7">
        <v>19965.11</v>
      </c>
      <c r="H247" s="7" t="s">
        <v>26</v>
      </c>
      <c r="I247" s="7" t="s">
        <v>93</v>
      </c>
      <c r="J247" s="7" t="s">
        <v>142</v>
      </c>
      <c r="K247" s="7" t="s">
        <v>39</v>
      </c>
      <c r="L247" s="7"/>
      <c r="N247" s="2" t="str">
        <f t="shared" si="1"/>
        <v>Engineering</v>
      </c>
      <c r="O247" s="6">
        <f>IFERROR(__xludf.DUMMYFUNCTION("IFERROR(
  IF(LEN(TRIM(B247))=6,
    DATE(2000+VALUE(RIGHT(TRIM(B247),2)),MATCH(LEFT(TRIM(B247),3),{""Jan"",""Feb"",""Mar"",""Apr"",""May"",""Jun"",""Jul"",""Aug"",""Sep"",""Oct"",""Nov"",""Dec""},0),15),
  IF(REGEXMATCH(TRIM(B247),""^\d{2}[/-]\d{2}[/-]\d"&amp;"{4}$""),
    DATE(VALUE(RIGHT(TRIM(B247),4)),VALUE(MID(TRIM(B247),4,2)),VALUE(LEFT(TRIM(B247),2))),
  DATEVALUE(TRIM(B247)))),
""CHECK"")"),45603.0)</f>
        <v>45603</v>
      </c>
      <c r="R247" s="2" t="str">
        <f t="shared" si="2"/>
        <v>Nov</v>
      </c>
      <c r="S247" s="2" t="str">
        <f t="shared" si="3"/>
        <v>Q4</v>
      </c>
      <c r="T247" s="2">
        <f t="shared" si="4"/>
        <v>19965.11</v>
      </c>
    </row>
    <row r="248">
      <c r="A248" s="5" t="s">
        <v>669</v>
      </c>
      <c r="B248" s="5" t="s">
        <v>332</v>
      </c>
      <c r="C248" s="5" t="s">
        <v>34</v>
      </c>
      <c r="D248" s="5" t="s">
        <v>51</v>
      </c>
      <c r="E248" s="5" t="s">
        <v>68</v>
      </c>
      <c r="F248" s="5" t="s">
        <v>670</v>
      </c>
      <c r="G248" s="5">
        <v>19444.95</v>
      </c>
      <c r="H248" s="5" t="s">
        <v>26</v>
      </c>
      <c r="I248" s="5" t="s">
        <v>93</v>
      </c>
      <c r="J248" s="5" t="s">
        <v>113</v>
      </c>
      <c r="K248" s="5" t="s">
        <v>67</v>
      </c>
      <c r="L248" s="5"/>
      <c r="N248" s="2" t="str">
        <f t="shared" si="1"/>
        <v>Customer Success</v>
      </c>
      <c r="O248" s="6">
        <f>IFERROR(__xludf.DUMMYFUNCTION("IFERROR(
  IF(LEN(TRIM(B248))=6,
    DATE(2000+VALUE(RIGHT(TRIM(B248),2)),MATCH(LEFT(TRIM(B248),3),{""Jan"",""Feb"",""Mar"",""Apr"",""May"",""Jun"",""Jul"",""Aug"",""Sep"",""Oct"",""Nov"",""Dec""},0),15),
  IF(REGEXMATCH(TRIM(B248),""^\d{2}[/-]\d{2}[/-]\d"&amp;"{4}$""),
    DATE(VALUE(RIGHT(TRIM(B248),4)),VALUE(MID(TRIM(B248),4,2)),VALUE(LEFT(TRIM(B248),2))),
  DATEVALUE(TRIM(B248)))),
""CHECK"")"),45458.0)</f>
        <v>45458</v>
      </c>
      <c r="R248" s="2" t="str">
        <f t="shared" si="2"/>
        <v>Jun</v>
      </c>
      <c r="S248" s="2" t="str">
        <f t="shared" si="3"/>
        <v>Q2</v>
      </c>
      <c r="T248" s="2">
        <f t="shared" si="4"/>
        <v>19444.95</v>
      </c>
    </row>
    <row r="249">
      <c r="A249" s="7" t="s">
        <v>671</v>
      </c>
      <c r="B249" s="7" t="s">
        <v>672</v>
      </c>
      <c r="C249" s="7" t="s">
        <v>34</v>
      </c>
      <c r="D249" s="7" t="s">
        <v>82</v>
      </c>
      <c r="E249" s="7" t="s">
        <v>418</v>
      </c>
      <c r="F249" s="7" t="s">
        <v>346</v>
      </c>
      <c r="G249" s="7">
        <v>19070.03</v>
      </c>
      <c r="H249" s="7" t="s">
        <v>26</v>
      </c>
      <c r="I249" s="7" t="s">
        <v>237</v>
      </c>
      <c r="J249" s="7" t="s">
        <v>28</v>
      </c>
      <c r="K249" s="7" t="s">
        <v>29</v>
      </c>
      <c r="L249" s="7"/>
      <c r="N249" s="2" t="str">
        <f t="shared" si="1"/>
        <v>Engineering</v>
      </c>
      <c r="O249" s="6">
        <f>IFERROR(__xludf.DUMMYFUNCTION("IFERROR(
  IF(LEN(TRIM(B249))=6,
    DATE(2000+VALUE(RIGHT(TRIM(B249),2)),MATCH(LEFT(TRIM(B249),3),{""Jan"",""Feb"",""Mar"",""Apr"",""May"",""Jun"",""Jul"",""Aug"",""Sep"",""Oct"",""Nov"",""Dec""},0),15),
  IF(REGEXMATCH(TRIM(B249),""^\d{2}[/-]\d{2}[/-]\d"&amp;"{4}$""),
    DATE(VALUE(RIGHT(TRIM(B249),4)),VALUE(MID(TRIM(B249),4,2)),VALUE(LEFT(TRIM(B249),2))),
  DATEVALUE(TRIM(B249)))),
""CHECK"")"),45536.0)</f>
        <v>45536</v>
      </c>
      <c r="R249" s="2" t="str">
        <f t="shared" si="2"/>
        <v>Sep</v>
      </c>
      <c r="S249" s="2" t="str">
        <f t="shared" si="3"/>
        <v>Q3</v>
      </c>
      <c r="T249" s="2">
        <f t="shared" si="4"/>
        <v>19070.03</v>
      </c>
    </row>
    <row r="250">
      <c r="A250" s="5" t="s">
        <v>673</v>
      </c>
      <c r="B250" s="5" t="s">
        <v>674</v>
      </c>
      <c r="C250" s="5" t="s">
        <v>34</v>
      </c>
      <c r="D250" s="5" t="s">
        <v>82</v>
      </c>
      <c r="E250" s="5" t="s">
        <v>99</v>
      </c>
      <c r="F250" s="5" t="s">
        <v>78</v>
      </c>
      <c r="G250" s="5">
        <v>17926.66</v>
      </c>
      <c r="H250" s="5" t="s">
        <v>26</v>
      </c>
      <c r="I250" s="5" t="s">
        <v>80</v>
      </c>
      <c r="J250" s="5" t="s">
        <v>66</v>
      </c>
      <c r="K250" s="5" t="s">
        <v>67</v>
      </c>
      <c r="L250" s="5"/>
      <c r="N250" s="2" t="str">
        <f t="shared" si="1"/>
        <v>Engineering</v>
      </c>
      <c r="O250" s="6">
        <f>IFERROR(__xludf.DUMMYFUNCTION("IFERROR(
  IF(LEN(TRIM(B250))=6,
    DATE(2000+VALUE(RIGHT(TRIM(B250),2)),MATCH(LEFT(TRIM(B250),3),{""Jan"",""Feb"",""Mar"",""Apr"",""May"",""Jun"",""Jul"",""Aug"",""Sep"",""Oct"",""Nov"",""Dec""},0),15),
  IF(REGEXMATCH(TRIM(B250),""^\d{2}[/-]\d{2}[/-]\d"&amp;"{4}$""),
    DATE(VALUE(RIGHT(TRIM(B250),4)),VALUE(MID(TRIM(B250),4,2)),VALUE(LEFT(TRIM(B250),2))),
  DATEVALUE(TRIM(B250)))),
""CHECK"")"),45405.0)</f>
        <v>45405</v>
      </c>
      <c r="R250" s="2" t="str">
        <f t="shared" si="2"/>
        <v>Apr</v>
      </c>
      <c r="S250" s="2" t="str">
        <f t="shared" si="3"/>
        <v>Q2</v>
      </c>
      <c r="T250" s="2">
        <f t="shared" si="4"/>
        <v>17926.66</v>
      </c>
    </row>
    <row r="251">
      <c r="A251" s="7" t="s">
        <v>675</v>
      </c>
      <c r="B251" s="7" t="s">
        <v>676</v>
      </c>
      <c r="C251" s="7" t="s">
        <v>34</v>
      </c>
      <c r="D251" s="7" t="s">
        <v>31</v>
      </c>
      <c r="E251" s="7" t="s">
        <v>31</v>
      </c>
      <c r="F251" s="7" t="s">
        <v>441</v>
      </c>
      <c r="G251" s="7">
        <v>23049.2</v>
      </c>
      <c r="H251" s="7" t="s">
        <v>79</v>
      </c>
      <c r="I251" s="7" t="s">
        <v>48</v>
      </c>
      <c r="J251" s="7" t="s">
        <v>108</v>
      </c>
      <c r="K251" s="7" t="s">
        <v>59</v>
      </c>
      <c r="L251" s="7"/>
      <c r="N251" s="2" t="str">
        <f t="shared" si="1"/>
        <v>Cloud Infrastructure</v>
      </c>
      <c r="O251" s="6">
        <f>IFERROR(__xludf.DUMMYFUNCTION("IFERROR(
  IF(LEN(TRIM(B251))=6,
    DATE(2000+VALUE(RIGHT(TRIM(B251),2)),MATCH(LEFT(TRIM(B251),3),{""Jan"",""Feb"",""Mar"",""Apr"",""May"",""Jun"",""Jul"",""Aug"",""Sep"",""Oct"",""Nov"",""Dec""},0),15),
  IF(REGEXMATCH(TRIM(B251),""^\d{2}[/-]\d{2}[/-]\d"&amp;"{4}$""),
    DATE(VALUE(RIGHT(TRIM(B251),4)),VALUE(MID(TRIM(B251),4,2)),VALUE(LEFT(TRIM(B251),2))),
  DATEVALUE(TRIM(B251)))),
""CHECK"")"),45506.0)</f>
        <v>45506</v>
      </c>
      <c r="R251" s="2" t="str">
        <f t="shared" si="2"/>
        <v>Aug</v>
      </c>
      <c r="S251" s="2" t="str">
        <f t="shared" si="3"/>
        <v>Q3</v>
      </c>
      <c r="T251" s="2">
        <f t="shared" si="4"/>
        <v>29272.484</v>
      </c>
    </row>
    <row r="252">
      <c r="A252" s="5" t="s">
        <v>677</v>
      </c>
      <c r="B252" s="5" t="s">
        <v>678</v>
      </c>
      <c r="C252" s="5" t="s">
        <v>34</v>
      </c>
      <c r="D252" s="5" t="s">
        <v>51</v>
      </c>
      <c r="E252" s="5" t="s">
        <v>68</v>
      </c>
      <c r="F252" s="5" t="s">
        <v>453</v>
      </c>
      <c r="G252" s="5">
        <v>15838.94</v>
      </c>
      <c r="H252" s="5" t="s">
        <v>26</v>
      </c>
      <c r="I252" s="5" t="s">
        <v>57</v>
      </c>
      <c r="J252" s="5" t="s">
        <v>58</v>
      </c>
      <c r="K252" s="5" t="s">
        <v>59</v>
      </c>
      <c r="L252" s="5"/>
      <c r="N252" s="2" t="str">
        <f t="shared" si="1"/>
        <v>Customer Success</v>
      </c>
      <c r="O252" s="6">
        <f>IFERROR(__xludf.DUMMYFUNCTION("IFERROR(
  IF(LEN(TRIM(B252))=6,
    DATE(2000+VALUE(RIGHT(TRIM(B252),2)),MATCH(LEFT(TRIM(B252),3),{""Jan"",""Feb"",""Mar"",""Apr"",""May"",""Jun"",""Jul"",""Aug"",""Sep"",""Oct"",""Nov"",""Dec""},0),15),
  IF(REGEXMATCH(TRIM(B252),""^\d{2}[/-]\d{2}[/-]\d"&amp;"{4}$""),
    DATE(VALUE(RIGHT(TRIM(B252),4)),VALUE(MID(TRIM(B252),4,2)),VALUE(LEFT(TRIM(B252),2))),
  DATEVALUE(TRIM(B252)))),
""CHECK"")"),45493.0)</f>
        <v>45493</v>
      </c>
      <c r="R252" s="2" t="str">
        <f t="shared" si="2"/>
        <v>Jul</v>
      </c>
      <c r="S252" s="2" t="str">
        <f t="shared" si="3"/>
        <v>Q3</v>
      </c>
      <c r="T252" s="2">
        <f t="shared" si="4"/>
        <v>15838.94</v>
      </c>
    </row>
    <row r="253">
      <c r="A253" s="7" t="s">
        <v>679</v>
      </c>
      <c r="B253" s="7" t="s">
        <v>680</v>
      </c>
      <c r="C253" s="7" t="s">
        <v>34</v>
      </c>
      <c r="D253" s="7" t="s">
        <v>90</v>
      </c>
      <c r="E253" s="7" t="s">
        <v>114</v>
      </c>
      <c r="F253" s="7" t="s">
        <v>681</v>
      </c>
      <c r="G253" s="7">
        <v>18545.22</v>
      </c>
      <c r="H253" s="7" t="s">
        <v>26</v>
      </c>
      <c r="I253" s="7" t="s">
        <v>237</v>
      </c>
      <c r="J253" s="7" t="s">
        <v>66</v>
      </c>
      <c r="K253" s="7" t="s">
        <v>67</v>
      </c>
      <c r="L253" s="7"/>
      <c r="N253" s="2" t="str">
        <f t="shared" si="1"/>
        <v>G&amp;A</v>
      </c>
      <c r="O253" s="6">
        <f>IFERROR(__xludf.DUMMYFUNCTION("IFERROR(
  IF(LEN(TRIM(B253))=6,
    DATE(2000+VALUE(RIGHT(TRIM(B253),2)),MATCH(LEFT(TRIM(B253),3),{""Jan"",""Feb"",""Mar"",""Apr"",""May"",""Jun"",""Jul"",""Aug"",""Sep"",""Oct"",""Nov"",""Dec""},0),15),
  IF(REGEXMATCH(TRIM(B253),""^\d{2}[/-]\d{2}[/-]\d"&amp;"{4}$""),
    DATE(VALUE(RIGHT(TRIM(B253),4)),VALUE(MID(TRIM(B253),4,2)),VALUE(LEFT(TRIM(B253),2))),
  DATEVALUE(TRIM(B253)))),
""CHECK"")"),45387.0)</f>
        <v>45387</v>
      </c>
      <c r="R253" s="2" t="str">
        <f t="shared" si="2"/>
        <v>Apr</v>
      </c>
      <c r="S253" s="2" t="str">
        <f t="shared" si="3"/>
        <v>Q2</v>
      </c>
      <c r="T253" s="2">
        <f t="shared" si="4"/>
        <v>18545.22</v>
      </c>
    </row>
    <row r="254">
      <c r="A254" s="5" t="s">
        <v>682</v>
      </c>
      <c r="B254" s="5" t="s">
        <v>332</v>
      </c>
      <c r="C254" s="5" t="s">
        <v>34</v>
      </c>
      <c r="D254" s="5" t="s">
        <v>31</v>
      </c>
      <c r="E254" s="5" t="s">
        <v>35</v>
      </c>
      <c r="F254" s="5" t="s">
        <v>453</v>
      </c>
      <c r="G254" s="5">
        <v>12953.72</v>
      </c>
      <c r="H254" s="5" t="s">
        <v>26</v>
      </c>
      <c r="I254" s="5" t="s">
        <v>57</v>
      </c>
      <c r="J254" s="5" t="s">
        <v>113</v>
      </c>
      <c r="K254" s="5" t="s">
        <v>67</v>
      </c>
      <c r="L254" s="5"/>
      <c r="N254" s="2" t="str">
        <f t="shared" si="1"/>
        <v>Cloud Infrastructure</v>
      </c>
      <c r="O254" s="6">
        <f>IFERROR(__xludf.DUMMYFUNCTION("IFERROR(
  IF(LEN(TRIM(B254))=6,
    DATE(2000+VALUE(RIGHT(TRIM(B254),2)),MATCH(LEFT(TRIM(B254),3),{""Jan"",""Feb"",""Mar"",""Apr"",""May"",""Jun"",""Jul"",""Aug"",""Sep"",""Oct"",""Nov"",""Dec""},0),15),
  IF(REGEXMATCH(TRIM(B254),""^\d{2}[/-]\d{2}[/-]\d"&amp;"{4}$""),
    DATE(VALUE(RIGHT(TRIM(B254),4)),VALUE(MID(TRIM(B254),4,2)),VALUE(LEFT(TRIM(B254),2))),
  DATEVALUE(TRIM(B254)))),
""CHECK"")"),45458.0)</f>
        <v>45458</v>
      </c>
      <c r="R254" s="2" t="str">
        <f t="shared" si="2"/>
        <v>Jun</v>
      </c>
      <c r="S254" s="2" t="str">
        <f t="shared" si="3"/>
        <v>Q2</v>
      </c>
      <c r="T254" s="2">
        <f t="shared" si="4"/>
        <v>12953.72</v>
      </c>
    </row>
    <row r="255">
      <c r="A255" s="7" t="s">
        <v>683</v>
      </c>
      <c r="B255" s="7" t="s">
        <v>684</v>
      </c>
      <c r="C255" s="7" t="s">
        <v>22</v>
      </c>
      <c r="D255" s="7" t="s">
        <v>23</v>
      </c>
      <c r="E255" s="7" t="s">
        <v>24</v>
      </c>
      <c r="F255" s="7" t="s">
        <v>42</v>
      </c>
      <c r="G255" s="7">
        <v>164652.69</v>
      </c>
      <c r="H255" s="7" t="s">
        <v>26</v>
      </c>
      <c r="I255" s="7" t="s">
        <v>129</v>
      </c>
      <c r="J255" s="7" t="s">
        <v>142</v>
      </c>
      <c r="K255" s="7" t="s">
        <v>39</v>
      </c>
      <c r="L255" s="7"/>
      <c r="N255" s="2" t="str">
        <f t="shared" si="1"/>
        <v>Sales</v>
      </c>
      <c r="O255" s="6">
        <f>IFERROR(__xludf.DUMMYFUNCTION("IFERROR(
  IF(LEN(TRIM(B255))=6,
    DATE(2000+VALUE(RIGHT(TRIM(B255),2)),MATCH(LEFT(TRIM(B255),3),{""Jan"",""Feb"",""Mar"",""Apr"",""May"",""Jun"",""Jul"",""Aug"",""Sep"",""Oct"",""Nov"",""Dec""},0),15),
  IF(REGEXMATCH(TRIM(B255),""^\d{2}[/-]\d{2}[/-]\d"&amp;"{4}$""),
    DATE(VALUE(RIGHT(TRIM(B255),4)),VALUE(MID(TRIM(B255),4,2)),VALUE(LEFT(TRIM(B255),2))),
  DATEVALUE(TRIM(B255)))),
""CHECK"")"),45611.0)</f>
        <v>45611</v>
      </c>
      <c r="R255" s="2" t="str">
        <f t="shared" si="2"/>
        <v>Nov</v>
      </c>
      <c r="S255" s="2" t="str">
        <f t="shared" si="3"/>
        <v>Q4</v>
      </c>
      <c r="T255" s="2">
        <f t="shared" si="4"/>
        <v>164652.69</v>
      </c>
    </row>
    <row r="256">
      <c r="A256" s="5" t="s">
        <v>685</v>
      </c>
      <c r="B256" s="5" t="s">
        <v>686</v>
      </c>
      <c r="C256" s="5" t="s">
        <v>34</v>
      </c>
      <c r="D256" s="5" t="s">
        <v>82</v>
      </c>
      <c r="E256" s="5" t="s">
        <v>99</v>
      </c>
      <c r="F256" s="5" t="s">
        <v>321</v>
      </c>
      <c r="G256" s="5">
        <v>38292.95</v>
      </c>
      <c r="H256" s="5" t="s">
        <v>26</v>
      </c>
      <c r="I256" s="5" t="s">
        <v>147</v>
      </c>
      <c r="J256" s="5" t="s">
        <v>113</v>
      </c>
      <c r="K256" s="5" t="s">
        <v>67</v>
      </c>
      <c r="L256" s="5"/>
      <c r="N256" s="2" t="str">
        <f t="shared" si="1"/>
        <v>Engineering</v>
      </c>
      <c r="O256" s="6">
        <f>IFERROR(__xludf.DUMMYFUNCTION("IFERROR(
  IF(LEN(TRIM(B256))=6,
    DATE(2000+VALUE(RIGHT(TRIM(B256),2)),MATCH(LEFT(TRIM(B256),3),{""Jan"",""Feb"",""Mar"",""Apr"",""May"",""Jun"",""Jul"",""Aug"",""Sep"",""Oct"",""Nov"",""Dec""},0),15),
  IF(REGEXMATCH(TRIM(B256),""^\d{2}[/-]\d{2}[/-]\d"&amp;"{4}$""),
    DATE(VALUE(RIGHT(TRIM(B256),4)),VALUE(MID(TRIM(B256),4,2)),VALUE(LEFT(TRIM(B256),2))),
  DATEVALUE(TRIM(B256)))),
""CHECK"")"),45906.0)</f>
        <v>45906</v>
      </c>
      <c r="R256" s="2" t="str">
        <f t="shared" si="2"/>
        <v>Sep</v>
      </c>
      <c r="S256" s="2" t="str">
        <f t="shared" si="3"/>
        <v>Q3</v>
      </c>
      <c r="T256" s="2">
        <f t="shared" si="4"/>
        <v>38292.95</v>
      </c>
    </row>
    <row r="257">
      <c r="A257" s="7" t="s">
        <v>687</v>
      </c>
      <c r="B257" s="7" t="s">
        <v>688</v>
      </c>
      <c r="C257" s="7" t="s">
        <v>34</v>
      </c>
      <c r="D257" s="7" t="s">
        <v>82</v>
      </c>
      <c r="E257" s="7" t="s">
        <v>94</v>
      </c>
      <c r="F257" s="7" t="s">
        <v>256</v>
      </c>
      <c r="G257" s="7">
        <v>38330.02</v>
      </c>
      <c r="H257" s="7" t="s">
        <v>26</v>
      </c>
      <c r="I257" s="7" t="s">
        <v>231</v>
      </c>
      <c r="J257" s="7" t="s">
        <v>58</v>
      </c>
      <c r="K257" s="7" t="s">
        <v>59</v>
      </c>
      <c r="L257" s="7"/>
      <c r="N257" s="2" t="str">
        <f t="shared" si="1"/>
        <v>Engineering</v>
      </c>
      <c r="O257" s="6">
        <f>IFERROR(__xludf.DUMMYFUNCTION("IFERROR(
  IF(LEN(TRIM(B257))=6,
    DATE(2000+VALUE(RIGHT(TRIM(B257),2)),MATCH(LEFT(TRIM(B257),3),{""Jan"",""Feb"",""Mar"",""Apr"",""May"",""Jun"",""Jul"",""Aug"",""Sep"",""Oct"",""Nov"",""Dec""},0),15),
  IF(REGEXMATCH(TRIM(B257),""^\d{2}[/-]\d{2}[/-]\d"&amp;"{4}$""),
    DATE(VALUE(RIGHT(TRIM(B257),4)),VALUE(MID(TRIM(B257),4,2)),VALUE(LEFT(TRIM(B257),2))),
  DATEVALUE(TRIM(B257)))),
""CHECK"")"),45499.0)</f>
        <v>45499</v>
      </c>
      <c r="R257" s="2" t="str">
        <f t="shared" si="2"/>
        <v>Jul</v>
      </c>
      <c r="S257" s="2" t="str">
        <f t="shared" si="3"/>
        <v>Q3</v>
      </c>
      <c r="T257" s="2">
        <f t="shared" si="4"/>
        <v>38330.02</v>
      </c>
    </row>
    <row r="258">
      <c r="A258" s="5" t="s">
        <v>689</v>
      </c>
      <c r="B258" s="5" t="s">
        <v>690</v>
      </c>
      <c r="C258" s="5" t="s">
        <v>22</v>
      </c>
      <c r="D258" s="5" t="s">
        <v>62</v>
      </c>
      <c r="E258" s="5" t="s">
        <v>97</v>
      </c>
      <c r="F258" s="5" t="s">
        <v>224</v>
      </c>
      <c r="G258" s="5">
        <v>24309.28</v>
      </c>
      <c r="H258" s="5" t="s">
        <v>26</v>
      </c>
      <c r="I258" s="5" t="s">
        <v>72</v>
      </c>
      <c r="J258" s="5" t="s">
        <v>44</v>
      </c>
      <c r="K258" s="5" t="s">
        <v>29</v>
      </c>
      <c r="L258" s="5"/>
      <c r="N258" s="2" t="str">
        <f t="shared" si="1"/>
        <v>Sales</v>
      </c>
      <c r="O258" s="6">
        <f>IFERROR(__xludf.DUMMYFUNCTION("IFERROR(
  IF(LEN(TRIM(B258))=6,
    DATE(2000+VALUE(RIGHT(TRIM(B258),2)),MATCH(LEFT(TRIM(B258),3),{""Jan"",""Feb"",""Mar"",""Apr"",""May"",""Jun"",""Jul"",""Aug"",""Sep"",""Oct"",""Nov"",""Dec""},0),15),
  IF(REGEXMATCH(TRIM(B258),""^\d{2}[/-]\d{2}[/-]\d"&amp;"{4}$""),
    DATE(VALUE(RIGHT(TRIM(B258),4)),VALUE(MID(TRIM(B258),4,2)),VALUE(LEFT(TRIM(B258),2))),
  DATEVALUE(TRIM(B258)))),
""CHECK"")"),45325.0)</f>
        <v>45325</v>
      </c>
      <c r="R258" s="2" t="str">
        <f t="shared" si="2"/>
        <v>Feb</v>
      </c>
      <c r="S258" s="2" t="str">
        <f t="shared" si="3"/>
        <v>Q1</v>
      </c>
      <c r="T258" s="2">
        <f t="shared" si="4"/>
        <v>24309.28</v>
      </c>
    </row>
    <row r="259">
      <c r="A259" s="7" t="s">
        <v>691</v>
      </c>
      <c r="B259" s="7" t="s">
        <v>692</v>
      </c>
      <c r="C259" s="7" t="s">
        <v>34</v>
      </c>
      <c r="D259" s="7" t="s">
        <v>111</v>
      </c>
      <c r="E259" s="7" t="s">
        <v>97</v>
      </c>
      <c r="F259" s="7" t="s">
        <v>436</v>
      </c>
      <c r="G259" s="7">
        <v>19254.34</v>
      </c>
      <c r="H259" s="7" t="s">
        <v>26</v>
      </c>
      <c r="I259" s="7" t="s">
        <v>237</v>
      </c>
      <c r="J259" s="7" t="s">
        <v>28</v>
      </c>
      <c r="K259" s="7" t="s">
        <v>29</v>
      </c>
      <c r="L259" s="7"/>
      <c r="N259" s="2" t="str">
        <f t="shared" si="1"/>
        <v>Sales</v>
      </c>
      <c r="O259" s="6">
        <f>IFERROR(__xludf.DUMMYFUNCTION("IFERROR(
  IF(LEN(TRIM(B259))=6,
    DATE(2000+VALUE(RIGHT(TRIM(B259),2)),MATCH(LEFT(TRIM(B259),3),{""Jan"",""Feb"",""Mar"",""Apr"",""May"",""Jun"",""Jul"",""Aug"",""Sep"",""Oct"",""Nov"",""Dec""},0),15),
  IF(REGEXMATCH(TRIM(B259),""^\d{2}[/-]\d{2}[/-]\d"&amp;"{4}$""),
    DATE(VALUE(RIGHT(TRIM(B259),4)),VALUE(MID(TRIM(B259),4,2)),VALUE(LEFT(TRIM(B259),2))),
  DATEVALUE(TRIM(B259)))),
""CHECK"")"),45306.0)</f>
        <v>45306</v>
      </c>
      <c r="R259" s="2" t="str">
        <f t="shared" si="2"/>
        <v>Jan</v>
      </c>
      <c r="S259" s="2" t="str">
        <f t="shared" si="3"/>
        <v>Q1</v>
      </c>
      <c r="T259" s="2">
        <f t="shared" si="4"/>
        <v>19254.34</v>
      </c>
    </row>
    <row r="260">
      <c r="A260" s="5" t="s">
        <v>693</v>
      </c>
      <c r="B260" s="5" t="s">
        <v>694</v>
      </c>
      <c r="C260" s="5" t="s">
        <v>34</v>
      </c>
      <c r="D260" s="5" t="s">
        <v>90</v>
      </c>
      <c r="E260" s="5" t="s">
        <v>90</v>
      </c>
      <c r="F260" s="5" t="s">
        <v>161</v>
      </c>
      <c r="G260" s="5">
        <v>15446.25</v>
      </c>
      <c r="H260" s="5" t="s">
        <v>26</v>
      </c>
      <c r="I260" s="5" t="s">
        <v>103</v>
      </c>
      <c r="J260" s="5" t="s">
        <v>87</v>
      </c>
      <c r="K260" s="5" t="s">
        <v>67</v>
      </c>
      <c r="L260" s="5"/>
      <c r="N260" s="2" t="str">
        <f t="shared" si="1"/>
        <v>G&amp;A</v>
      </c>
      <c r="O260" s="6">
        <f>IFERROR(__xludf.DUMMYFUNCTION("IFERROR(
  IF(LEN(TRIM(B260))=6,
    DATE(2000+VALUE(RIGHT(TRIM(B260),2)),MATCH(LEFT(TRIM(B260),3),{""Jan"",""Feb"",""Mar"",""Apr"",""May"",""Jun"",""Jul"",""Aug"",""Sep"",""Oct"",""Nov"",""Dec""},0),15),
  IF(REGEXMATCH(TRIM(B260),""^\d{2}[/-]\d{2}[/-]\d"&amp;"{4}$""),
    DATE(VALUE(RIGHT(TRIM(B260),4)),VALUE(MID(TRIM(B260),4,2)),VALUE(LEFT(TRIM(B260),2))),
  DATEVALUE(TRIM(B260)))),
""CHECK"")"),45442.0)</f>
        <v>45442</v>
      </c>
      <c r="R260" s="2" t="str">
        <f t="shared" si="2"/>
        <v>May</v>
      </c>
      <c r="S260" s="2" t="str">
        <f t="shared" si="3"/>
        <v>Q2</v>
      </c>
      <c r="T260" s="2">
        <f t="shared" si="4"/>
        <v>15446.25</v>
      </c>
    </row>
    <row r="261">
      <c r="A261" s="7" t="s">
        <v>695</v>
      </c>
      <c r="B261" s="7" t="s">
        <v>696</v>
      </c>
      <c r="C261" s="7" t="s">
        <v>34</v>
      </c>
      <c r="D261" s="7" t="s">
        <v>54</v>
      </c>
      <c r="E261" s="7" t="s">
        <v>130</v>
      </c>
      <c r="F261" s="7" t="s">
        <v>697</v>
      </c>
      <c r="G261" s="7">
        <v>35946.41</v>
      </c>
      <c r="H261" s="7" t="s">
        <v>26</v>
      </c>
      <c r="I261" s="7" t="s">
        <v>394</v>
      </c>
      <c r="J261" s="7" t="s">
        <v>108</v>
      </c>
      <c r="K261" s="7" t="s">
        <v>59</v>
      </c>
      <c r="L261" s="7"/>
      <c r="N261" s="2" t="str">
        <f t="shared" si="1"/>
        <v>Marketing</v>
      </c>
      <c r="O261" s="6">
        <f>IFERROR(__xludf.DUMMYFUNCTION("IFERROR(
  IF(LEN(TRIM(B261))=6,
    DATE(2000+VALUE(RIGHT(TRIM(B261),2)),MATCH(LEFT(TRIM(B261),3),{""Jan"",""Feb"",""Mar"",""Apr"",""May"",""Jun"",""Jul"",""Aug"",""Sep"",""Oct"",""Nov"",""Dec""},0),15),
  IF(REGEXMATCH(TRIM(B261),""^\d{2}[/-]\d{2}[/-]\d"&amp;"{4}$""),
    DATE(VALUE(RIGHT(TRIM(B261),4)),VALUE(MID(TRIM(B261),4,2)),VALUE(LEFT(TRIM(B261),2))),
  DATEVALUE(TRIM(B261)))),
""CHECK"")"),45521.0)</f>
        <v>45521</v>
      </c>
      <c r="R261" s="2" t="str">
        <f t="shared" si="2"/>
        <v>Aug</v>
      </c>
      <c r="S261" s="2" t="str">
        <f t="shared" si="3"/>
        <v>Q3</v>
      </c>
      <c r="T261" s="2">
        <f t="shared" si="4"/>
        <v>35946.41</v>
      </c>
    </row>
    <row r="262">
      <c r="A262" s="5" t="s">
        <v>698</v>
      </c>
      <c r="B262" s="5" t="s">
        <v>699</v>
      </c>
      <c r="C262" s="5" t="s">
        <v>22</v>
      </c>
      <c r="D262" s="5" t="s">
        <v>85</v>
      </c>
      <c r="E262" s="5" t="s">
        <v>97</v>
      </c>
      <c r="F262" s="5" t="s">
        <v>86</v>
      </c>
      <c r="G262" s="5">
        <v>21243.98</v>
      </c>
      <c r="H262" s="5" t="s">
        <v>26</v>
      </c>
      <c r="I262" s="5" t="s">
        <v>129</v>
      </c>
      <c r="J262" s="5" t="s">
        <v>73</v>
      </c>
      <c r="K262" s="5" t="s">
        <v>59</v>
      </c>
      <c r="L262" s="5"/>
      <c r="N262" s="2" t="str">
        <f t="shared" si="1"/>
        <v>Sales</v>
      </c>
      <c r="O262" s="6">
        <f>IFERROR(__xludf.DUMMYFUNCTION("IFERROR(
  IF(LEN(TRIM(B262))=6,
    DATE(2000+VALUE(RIGHT(TRIM(B262),2)),MATCH(LEFT(TRIM(B262),3),{""Jan"",""Feb"",""Mar"",""Apr"",""May"",""Jun"",""Jul"",""Aug"",""Sep"",""Oct"",""Nov"",""Dec""},0),15),
  IF(REGEXMATCH(TRIM(B262),""^\d{2}[/-]\d{2}[/-]\d"&amp;"{4}$""),
    DATE(VALUE(RIGHT(TRIM(B262),4)),VALUE(MID(TRIM(B262),4,2)),VALUE(LEFT(TRIM(B262),2))),
  DATEVALUE(TRIM(B262)))),
""CHECK"")"),45546.0)</f>
        <v>45546</v>
      </c>
      <c r="R262" s="2" t="str">
        <f t="shared" si="2"/>
        <v>Sep</v>
      </c>
      <c r="S262" s="2" t="str">
        <f t="shared" si="3"/>
        <v>Q3</v>
      </c>
      <c r="T262" s="2">
        <f t="shared" si="4"/>
        <v>21243.98</v>
      </c>
    </row>
    <row r="263">
      <c r="A263" s="7" t="s">
        <v>700</v>
      </c>
      <c r="B263" s="7" t="s">
        <v>311</v>
      </c>
      <c r="C263" s="7" t="s">
        <v>34</v>
      </c>
      <c r="D263" s="7" t="s">
        <v>111</v>
      </c>
      <c r="E263" s="7" t="s">
        <v>111</v>
      </c>
      <c r="F263" s="7" t="s">
        <v>410</v>
      </c>
      <c r="G263" s="7">
        <v>13865.56</v>
      </c>
      <c r="H263" s="7" t="s">
        <v>26</v>
      </c>
      <c r="I263" s="7" t="s">
        <v>168</v>
      </c>
      <c r="J263" s="7" t="s">
        <v>49</v>
      </c>
      <c r="K263" s="7" t="s">
        <v>39</v>
      </c>
      <c r="L263" s="7"/>
      <c r="N263" s="2" t="str">
        <f t="shared" si="1"/>
        <v>Sales</v>
      </c>
      <c r="O263" s="6">
        <f>IFERROR(__xludf.DUMMYFUNCTION("IFERROR(
  IF(LEN(TRIM(B263))=6,
    DATE(2000+VALUE(RIGHT(TRIM(B263),2)),MATCH(LEFT(TRIM(B263),3),{""Jan"",""Feb"",""Mar"",""Apr"",""May"",""Jun"",""Jul"",""Aug"",""Sep"",""Oct"",""Nov"",""Dec""},0),15),
  IF(REGEXMATCH(TRIM(B263),""^\d{2}[/-]\d{2}[/-]\d"&amp;"{4}$""),
    DATE(VALUE(RIGHT(TRIM(B263),4)),VALUE(MID(TRIM(B263),4,2)),VALUE(LEFT(TRIM(B263),2))),
  DATEVALUE(TRIM(B263)))),
""CHECK"")"),45580.0)</f>
        <v>45580</v>
      </c>
      <c r="R263" s="2" t="str">
        <f t="shared" si="2"/>
        <v>Oct</v>
      </c>
      <c r="S263" s="2" t="str">
        <f t="shared" si="3"/>
        <v>Q4</v>
      </c>
      <c r="T263" s="2">
        <f t="shared" si="4"/>
        <v>13865.56</v>
      </c>
    </row>
    <row r="264">
      <c r="A264" s="5" t="s">
        <v>701</v>
      </c>
      <c r="B264" s="5" t="s">
        <v>247</v>
      </c>
      <c r="C264" s="5" t="s">
        <v>34</v>
      </c>
      <c r="D264" s="5" t="s">
        <v>51</v>
      </c>
      <c r="E264" s="5" t="s">
        <v>50</v>
      </c>
      <c r="F264" s="5" t="s">
        <v>410</v>
      </c>
      <c r="G264" s="5">
        <v>20665.01</v>
      </c>
      <c r="H264" s="5" t="s">
        <v>26</v>
      </c>
      <c r="I264" s="5" t="s">
        <v>168</v>
      </c>
      <c r="J264" s="5" t="s">
        <v>66</v>
      </c>
      <c r="K264" s="5" t="s">
        <v>67</v>
      </c>
      <c r="L264" s="5"/>
      <c r="N264" s="2" t="str">
        <f t="shared" si="1"/>
        <v>Customer Success</v>
      </c>
      <c r="O264" s="6">
        <f>IFERROR(__xludf.DUMMYFUNCTION("IFERROR(
  IF(LEN(TRIM(B264))=6,
    DATE(2000+VALUE(RIGHT(TRIM(B264),2)),MATCH(LEFT(TRIM(B264),3),{""Jan"",""Feb"",""Mar"",""Apr"",""May"",""Jun"",""Jul"",""Aug"",""Sep"",""Oct"",""Nov"",""Dec""},0),15),
  IF(REGEXMATCH(TRIM(B264),""^\d{2}[/-]\d{2}[/-]\d"&amp;"{4}$""),
    DATE(VALUE(RIGHT(TRIM(B264),4)),VALUE(MID(TRIM(B264),4,2)),VALUE(LEFT(TRIM(B264),2))),
  DATEVALUE(TRIM(B264)))),
""CHECK"")"),45397.0)</f>
        <v>45397</v>
      </c>
      <c r="R264" s="2" t="str">
        <f t="shared" si="2"/>
        <v>Apr</v>
      </c>
      <c r="S264" s="2" t="str">
        <f t="shared" si="3"/>
        <v>Q2</v>
      </c>
      <c r="T264" s="2">
        <f t="shared" si="4"/>
        <v>20665.01</v>
      </c>
    </row>
    <row r="265">
      <c r="A265" s="7" t="s">
        <v>702</v>
      </c>
      <c r="B265" s="7" t="s">
        <v>337</v>
      </c>
      <c r="C265" s="7" t="s">
        <v>34</v>
      </c>
      <c r="D265" s="7" t="s">
        <v>31</v>
      </c>
      <c r="E265" s="7" t="s">
        <v>77</v>
      </c>
      <c r="F265" s="7" t="s">
        <v>380</v>
      </c>
      <c r="G265" s="7">
        <v>17075.57</v>
      </c>
      <c r="H265" s="7" t="s">
        <v>26</v>
      </c>
      <c r="I265" s="7" t="s">
        <v>57</v>
      </c>
      <c r="J265" s="7" t="s">
        <v>142</v>
      </c>
      <c r="K265" s="7" t="s">
        <v>39</v>
      </c>
      <c r="L265" s="7"/>
      <c r="N265" s="2" t="str">
        <f t="shared" si="1"/>
        <v>Cloud Infrastructure</v>
      </c>
      <c r="O265" s="6">
        <f>IFERROR(__xludf.DUMMYFUNCTION("IFERROR(
  IF(LEN(TRIM(B265))=6,
    DATE(2000+VALUE(RIGHT(TRIM(B265),2)),MATCH(LEFT(TRIM(B265),3),{""Jan"",""Feb"",""Mar"",""Apr"",""May"",""Jun"",""Jul"",""Aug"",""Sep"",""Oct"",""Nov"",""Dec""},0),15),
  IF(REGEXMATCH(TRIM(B265),""^\d{2}[/-]\d{2}[/-]\d"&amp;"{4}$""),
    DATE(VALUE(RIGHT(TRIM(B265),4)),VALUE(MID(TRIM(B265),4,2)),VALUE(LEFT(TRIM(B265),2))),
  DATEVALUE(TRIM(B265)))),
""CHECK"")"),45611.0)</f>
        <v>45611</v>
      </c>
      <c r="R265" s="2" t="str">
        <f t="shared" si="2"/>
        <v>Nov</v>
      </c>
      <c r="S265" s="2" t="str">
        <f t="shared" si="3"/>
        <v>Q4</v>
      </c>
      <c r="T265" s="2">
        <f t="shared" si="4"/>
        <v>17075.57</v>
      </c>
    </row>
    <row r="266">
      <c r="A266" s="5" t="s">
        <v>703</v>
      </c>
      <c r="B266" s="5" t="s">
        <v>704</v>
      </c>
      <c r="C266" s="5" t="s">
        <v>34</v>
      </c>
      <c r="D266" s="5" t="s">
        <v>51</v>
      </c>
      <c r="E266" s="5" t="s">
        <v>50</v>
      </c>
      <c r="F266" s="5" t="s">
        <v>362</v>
      </c>
      <c r="G266" s="5">
        <v>18924.37</v>
      </c>
      <c r="H266" s="5" t="s">
        <v>26</v>
      </c>
      <c r="I266" s="5" t="s">
        <v>237</v>
      </c>
      <c r="J266" s="5" t="s">
        <v>87</v>
      </c>
      <c r="K266" s="5" t="s">
        <v>67</v>
      </c>
      <c r="L266" s="5"/>
      <c r="N266" s="2" t="str">
        <f t="shared" si="1"/>
        <v>Customer Success</v>
      </c>
      <c r="O266" s="6">
        <f>IFERROR(__xludf.DUMMYFUNCTION("IFERROR(
  IF(LEN(TRIM(B266))=6,
    DATE(2000+VALUE(RIGHT(TRIM(B266),2)),MATCH(LEFT(TRIM(B266),3),{""Jan"",""Feb"",""Mar"",""Apr"",""May"",""Jun"",""Jul"",""Aug"",""Sep"",""Oct"",""Nov"",""Dec""},0),15),
  IF(REGEXMATCH(TRIM(B266),""^\d{2}[/-]\d{2}[/-]\d"&amp;"{4}$""),
    DATE(VALUE(RIGHT(TRIM(B266),4)),VALUE(MID(TRIM(B266),4,2)),VALUE(LEFT(TRIM(B266),2))),
  DATEVALUE(TRIM(B266)))),
""CHECK"")"),45417.0)</f>
        <v>45417</v>
      </c>
      <c r="R266" s="2" t="str">
        <f t="shared" si="2"/>
        <v>May</v>
      </c>
      <c r="S266" s="2" t="str">
        <f t="shared" si="3"/>
        <v>Q2</v>
      </c>
      <c r="T266" s="2">
        <f t="shared" si="4"/>
        <v>18924.37</v>
      </c>
    </row>
    <row r="267">
      <c r="A267" s="7" t="s">
        <v>705</v>
      </c>
      <c r="B267" s="7" t="s">
        <v>706</v>
      </c>
      <c r="C267" s="7" t="s">
        <v>22</v>
      </c>
      <c r="D267" s="7" t="s">
        <v>62</v>
      </c>
      <c r="E267" s="7" t="s">
        <v>24</v>
      </c>
      <c r="F267" s="7" t="s">
        <v>224</v>
      </c>
      <c r="G267" s="7">
        <v>19203.51</v>
      </c>
      <c r="H267" s="7" t="s">
        <v>26</v>
      </c>
      <c r="I267" s="7" t="s">
        <v>129</v>
      </c>
      <c r="J267" s="7" t="s">
        <v>58</v>
      </c>
      <c r="K267" s="7" t="s">
        <v>59</v>
      </c>
      <c r="L267" s="7"/>
      <c r="N267" s="2" t="str">
        <f t="shared" si="1"/>
        <v>Sales</v>
      </c>
      <c r="O267" s="6">
        <f>IFERROR(__xludf.DUMMYFUNCTION("IFERROR(
  IF(LEN(TRIM(B267))=6,
    DATE(2000+VALUE(RIGHT(TRIM(B267),2)),MATCH(LEFT(TRIM(B267),3),{""Jan"",""Feb"",""Mar"",""Apr"",""May"",""Jun"",""Jul"",""Aug"",""Sep"",""Oct"",""Nov"",""Dec""},0),15),
  IF(REGEXMATCH(TRIM(B267),""^\d{2}[/-]\d{2}[/-]\d"&amp;"{4}$""),
    DATE(VALUE(RIGHT(TRIM(B267),4)),VALUE(MID(TRIM(B267),4,2)),VALUE(LEFT(TRIM(B267),2))),
  DATEVALUE(TRIM(B267)))),
""CHECK"")"),45475.0)</f>
        <v>45475</v>
      </c>
      <c r="R267" s="2" t="str">
        <f t="shared" si="2"/>
        <v>Jul</v>
      </c>
      <c r="S267" s="2" t="str">
        <f t="shared" si="3"/>
        <v>Q3</v>
      </c>
      <c r="T267" s="2">
        <f t="shared" si="4"/>
        <v>19203.51</v>
      </c>
    </row>
    <row r="268">
      <c r="A268" s="5" t="s">
        <v>707</v>
      </c>
      <c r="B268" s="5" t="s">
        <v>708</v>
      </c>
      <c r="C268" s="5" t="s">
        <v>34</v>
      </c>
      <c r="D268" s="5" t="s">
        <v>31</v>
      </c>
      <c r="E268" s="5" t="s">
        <v>77</v>
      </c>
      <c r="F268" s="5" t="s">
        <v>174</v>
      </c>
      <c r="G268" s="5">
        <v>19848.67</v>
      </c>
      <c r="H268" s="5" t="s">
        <v>26</v>
      </c>
      <c r="I268" s="5" t="s">
        <v>118</v>
      </c>
      <c r="J268" s="5" t="s">
        <v>44</v>
      </c>
      <c r="K268" s="5" t="s">
        <v>29</v>
      </c>
      <c r="L268" s="5"/>
      <c r="N268" s="2" t="str">
        <f t="shared" si="1"/>
        <v>Cloud Infrastructure</v>
      </c>
      <c r="O268" s="6">
        <f>IFERROR(__xludf.DUMMYFUNCTION("IFERROR(
  IF(LEN(TRIM(B268))=6,
    DATE(2000+VALUE(RIGHT(TRIM(B268),2)),MATCH(LEFT(TRIM(B268),3),{""Jan"",""Feb"",""Mar"",""Apr"",""May"",""Jun"",""Jul"",""Aug"",""Sep"",""Oct"",""Nov"",""Dec""},0),15),
  IF(REGEXMATCH(TRIM(B268),""^\d{2}[/-]\d{2}[/-]\d"&amp;"{4}$""),
    DATE(VALUE(RIGHT(TRIM(B268),4)),VALUE(MID(TRIM(B268),4,2)),VALUE(LEFT(TRIM(B268),2))),
  DATEVALUE(TRIM(B268)))),
""CHECK"")"),45360.0)</f>
        <v>45360</v>
      </c>
      <c r="R268" s="2" t="str">
        <f t="shared" si="2"/>
        <v>Mar</v>
      </c>
      <c r="S268" s="2" t="str">
        <f t="shared" si="3"/>
        <v>Q1</v>
      </c>
      <c r="T268" s="2">
        <f t="shared" si="4"/>
        <v>19848.67</v>
      </c>
    </row>
    <row r="269">
      <c r="A269" s="7" t="s">
        <v>709</v>
      </c>
      <c r="B269" s="7" t="s">
        <v>710</v>
      </c>
      <c r="C269" s="7" t="s">
        <v>22</v>
      </c>
      <c r="D269" s="7" t="s">
        <v>62</v>
      </c>
      <c r="E269" s="7" t="s">
        <v>111</v>
      </c>
      <c r="F269" s="7" t="s">
        <v>98</v>
      </c>
      <c r="G269" s="7">
        <v>29364.92</v>
      </c>
      <c r="H269" s="7" t="s">
        <v>26</v>
      </c>
      <c r="I269" s="7" t="s">
        <v>72</v>
      </c>
      <c r="J269" s="7" t="s">
        <v>142</v>
      </c>
      <c r="K269" s="7" t="s">
        <v>39</v>
      </c>
      <c r="L269" s="7"/>
      <c r="N269" s="2" t="str">
        <f t="shared" si="1"/>
        <v>Sales</v>
      </c>
      <c r="O269" s="6">
        <f>IFERROR(__xludf.DUMMYFUNCTION("IFERROR(
  IF(LEN(TRIM(B269))=6,
    DATE(2000+VALUE(RIGHT(TRIM(B269),2)),MATCH(LEFT(TRIM(B269),3),{""Jan"",""Feb"",""Mar"",""Apr"",""May"",""Jun"",""Jul"",""Aug"",""Sep"",""Oct"",""Nov"",""Dec""},0),15),
  IF(REGEXMATCH(TRIM(B269),""^\d{2}[/-]\d{2}[/-]\d"&amp;"{4}$""),
    DATE(VALUE(RIGHT(TRIM(B269),4)),VALUE(MID(TRIM(B269),4,2)),VALUE(LEFT(TRIM(B269),2))),
  DATEVALUE(TRIM(B269)))),
""CHECK"")"),45619.0)</f>
        <v>45619</v>
      </c>
      <c r="R269" s="2" t="str">
        <f t="shared" si="2"/>
        <v>Nov</v>
      </c>
      <c r="S269" s="2" t="str">
        <f t="shared" si="3"/>
        <v>Q4</v>
      </c>
      <c r="T269" s="2">
        <f t="shared" si="4"/>
        <v>29364.92</v>
      </c>
    </row>
    <row r="270">
      <c r="A270" s="5" t="s">
        <v>711</v>
      </c>
      <c r="B270" s="5" t="s">
        <v>106</v>
      </c>
      <c r="C270" s="5" t="s">
        <v>22</v>
      </c>
      <c r="D270" s="5" t="s">
        <v>85</v>
      </c>
      <c r="E270" s="5" t="s">
        <v>63</v>
      </c>
      <c r="F270" s="5" t="s">
        <v>548</v>
      </c>
      <c r="G270" s="5">
        <v>69233.06</v>
      </c>
      <c r="H270" s="5" t="s">
        <v>26</v>
      </c>
      <c r="I270" s="5" t="s">
        <v>72</v>
      </c>
      <c r="J270" s="5" t="s">
        <v>108</v>
      </c>
      <c r="K270" s="5" t="s">
        <v>59</v>
      </c>
      <c r="L270" s="5"/>
      <c r="N270" s="2" t="str">
        <f t="shared" si="1"/>
        <v>Sales</v>
      </c>
      <c r="O270" s="6">
        <f>IFERROR(__xludf.DUMMYFUNCTION("IFERROR(
  IF(LEN(TRIM(B270))=6,
    DATE(2000+VALUE(RIGHT(TRIM(B270),2)),MATCH(LEFT(TRIM(B270),3),{""Jan"",""Feb"",""Mar"",""Apr"",""May"",""Jun"",""Jul"",""Aug"",""Sep"",""Oct"",""Nov"",""Dec""},0),15),
  IF(REGEXMATCH(TRIM(B270),""^\d{2}[/-]\d{2}[/-]\d"&amp;"{4}$""),
    DATE(VALUE(RIGHT(TRIM(B270),4)),VALUE(MID(TRIM(B270),4,2)),VALUE(LEFT(TRIM(B270),2))),
  DATEVALUE(TRIM(B270)))),
""CHECK"")"),45519.0)</f>
        <v>45519</v>
      </c>
      <c r="R270" s="2" t="str">
        <f t="shared" si="2"/>
        <v>Aug</v>
      </c>
      <c r="S270" s="2" t="str">
        <f t="shared" si="3"/>
        <v>Q3</v>
      </c>
      <c r="T270" s="2">
        <f t="shared" si="4"/>
        <v>69233.06</v>
      </c>
    </row>
    <row r="271">
      <c r="A271" s="7" t="s">
        <v>712</v>
      </c>
      <c r="B271" s="7" t="s">
        <v>713</v>
      </c>
      <c r="C271" s="7" t="s">
        <v>34</v>
      </c>
      <c r="D271" s="7" t="s">
        <v>90</v>
      </c>
      <c r="E271" s="7" t="s">
        <v>104</v>
      </c>
      <c r="F271" s="7" t="s">
        <v>401</v>
      </c>
      <c r="G271" s="7">
        <v>11262.41</v>
      </c>
      <c r="H271" s="7" t="s">
        <v>26</v>
      </c>
      <c r="I271" s="7" t="s">
        <v>394</v>
      </c>
      <c r="J271" s="7" t="s">
        <v>73</v>
      </c>
      <c r="K271" s="7" t="s">
        <v>59</v>
      </c>
      <c r="L271" s="7"/>
      <c r="N271" s="2" t="str">
        <f t="shared" si="1"/>
        <v>G&amp;A</v>
      </c>
      <c r="O271" s="6">
        <f>IFERROR(__xludf.DUMMYFUNCTION("IFERROR(
  IF(LEN(TRIM(B271))=6,
    DATE(2000+VALUE(RIGHT(TRIM(B271),2)),MATCH(LEFT(TRIM(B271),3),{""Jan"",""Feb"",""Mar"",""Apr"",""May"",""Jun"",""Jul"",""Aug"",""Sep"",""Oct"",""Nov"",""Dec""},0),15),
  IF(REGEXMATCH(TRIM(B271),""^\d{2}[/-]\d{2}[/-]\d"&amp;"{4}$""),
    DATE(VALUE(RIGHT(TRIM(B271),4)),VALUE(MID(TRIM(B271),4,2)),VALUE(LEFT(TRIM(B271),2))),
  DATEVALUE(TRIM(B271)))),
""CHECK"")"),45545.0)</f>
        <v>45545</v>
      </c>
      <c r="R271" s="2" t="str">
        <f t="shared" si="2"/>
        <v>Sep</v>
      </c>
      <c r="S271" s="2" t="str">
        <f t="shared" si="3"/>
        <v>Q3</v>
      </c>
      <c r="T271" s="2">
        <f t="shared" si="4"/>
        <v>11262.41</v>
      </c>
    </row>
    <row r="272">
      <c r="A272" s="5" t="s">
        <v>714</v>
      </c>
      <c r="B272" s="5" t="s">
        <v>715</v>
      </c>
      <c r="C272" s="5" t="s">
        <v>34</v>
      </c>
      <c r="D272" s="5" t="s">
        <v>31</v>
      </c>
      <c r="E272" s="5" t="s">
        <v>77</v>
      </c>
      <c r="F272" s="5" t="s">
        <v>716</v>
      </c>
      <c r="G272" s="5">
        <v>13608.24</v>
      </c>
      <c r="H272" s="5" t="s">
        <v>26</v>
      </c>
      <c r="I272" s="5" t="s">
        <v>48</v>
      </c>
      <c r="J272" s="5" t="s">
        <v>113</v>
      </c>
      <c r="K272" s="5" t="s">
        <v>67</v>
      </c>
      <c r="L272" s="5"/>
      <c r="N272" s="2" t="str">
        <f t="shared" si="1"/>
        <v>Cloud Infrastructure</v>
      </c>
      <c r="O272" s="6">
        <f>IFERROR(__xludf.DUMMYFUNCTION("IFERROR(
  IF(LEN(TRIM(B272))=6,
    DATE(2000+VALUE(RIGHT(TRIM(B272),2)),MATCH(LEFT(TRIM(B272),3),{""Jan"",""Feb"",""Mar"",""Apr"",""May"",""Jun"",""Jul"",""Aug"",""Sep"",""Oct"",""Nov"",""Dec""},0),15),
  IF(REGEXMATCH(TRIM(B272),""^\d{2}[/-]\d{2}[/-]\d"&amp;"{4}$""),
    DATE(VALUE(RIGHT(TRIM(B272),4)),VALUE(MID(TRIM(B272),4,2)),VALUE(LEFT(TRIM(B272),2))),
  DATEVALUE(TRIM(B272)))),
""CHECK"")"),45464.0)</f>
        <v>45464</v>
      </c>
      <c r="R272" s="2" t="str">
        <f t="shared" si="2"/>
        <v>Jun</v>
      </c>
      <c r="S272" s="2" t="str">
        <f t="shared" si="3"/>
        <v>Q2</v>
      </c>
      <c r="T272" s="2">
        <f t="shared" si="4"/>
        <v>13608.24</v>
      </c>
    </row>
    <row r="273">
      <c r="A273" s="7" t="s">
        <v>717</v>
      </c>
      <c r="B273" s="7" t="s">
        <v>332</v>
      </c>
      <c r="C273" s="7" t="s">
        <v>34</v>
      </c>
      <c r="D273" s="7" t="s">
        <v>111</v>
      </c>
      <c r="E273" s="7" t="s">
        <v>63</v>
      </c>
      <c r="F273" s="7" t="s">
        <v>436</v>
      </c>
      <c r="G273" s="7">
        <v>24877.93</v>
      </c>
      <c r="H273" s="7" t="s">
        <v>26</v>
      </c>
      <c r="I273" s="7" t="s">
        <v>237</v>
      </c>
      <c r="J273" s="7" t="s">
        <v>113</v>
      </c>
      <c r="K273" s="7" t="s">
        <v>67</v>
      </c>
      <c r="L273" s="7"/>
      <c r="N273" s="2" t="str">
        <f t="shared" si="1"/>
        <v>Sales</v>
      </c>
      <c r="O273" s="6">
        <f>IFERROR(__xludf.DUMMYFUNCTION("IFERROR(
  IF(LEN(TRIM(B273))=6,
    DATE(2000+VALUE(RIGHT(TRIM(B273),2)),MATCH(LEFT(TRIM(B273),3),{""Jan"",""Feb"",""Mar"",""Apr"",""May"",""Jun"",""Jul"",""Aug"",""Sep"",""Oct"",""Nov"",""Dec""},0),15),
  IF(REGEXMATCH(TRIM(B273),""^\d{2}[/-]\d{2}[/-]\d"&amp;"{4}$""),
    DATE(VALUE(RIGHT(TRIM(B273),4)),VALUE(MID(TRIM(B273),4,2)),VALUE(LEFT(TRIM(B273),2))),
  DATEVALUE(TRIM(B273)))),
""CHECK"")"),45458.0)</f>
        <v>45458</v>
      </c>
      <c r="R273" s="2" t="str">
        <f t="shared" si="2"/>
        <v>Jun</v>
      </c>
      <c r="S273" s="2" t="str">
        <f t="shared" si="3"/>
        <v>Q2</v>
      </c>
      <c r="T273" s="2">
        <f t="shared" si="4"/>
        <v>24877.93</v>
      </c>
    </row>
    <row r="274">
      <c r="A274" s="5" t="s">
        <v>718</v>
      </c>
      <c r="B274" s="5" t="s">
        <v>719</v>
      </c>
      <c r="C274" s="5" t="s">
        <v>34</v>
      </c>
      <c r="D274" s="5" t="s">
        <v>90</v>
      </c>
      <c r="E274" s="5" t="s">
        <v>91</v>
      </c>
      <c r="F274" s="5" t="s">
        <v>47</v>
      </c>
      <c r="G274" s="5">
        <v>15079.57</v>
      </c>
      <c r="H274" s="5" t="s">
        <v>26</v>
      </c>
      <c r="I274" s="5" t="s">
        <v>48</v>
      </c>
      <c r="J274" s="5" t="s">
        <v>142</v>
      </c>
      <c r="K274" s="5" t="s">
        <v>39</v>
      </c>
      <c r="L274" s="5"/>
      <c r="N274" s="2" t="str">
        <f t="shared" si="1"/>
        <v>G&amp;A</v>
      </c>
      <c r="O274" s="6">
        <f>IFERROR(__xludf.DUMMYFUNCTION("IFERROR(
  IF(LEN(TRIM(B274))=6,
    DATE(2000+VALUE(RIGHT(TRIM(B274),2)),MATCH(LEFT(TRIM(B274),3),{""Jan"",""Feb"",""Mar"",""Apr"",""May"",""Jun"",""Jul"",""Aug"",""Sep"",""Oct"",""Nov"",""Dec""},0),15),
  IF(REGEXMATCH(TRIM(B274),""^\d{2}[/-]\d{2}[/-]\d"&amp;"{4}$""),
    DATE(VALUE(RIGHT(TRIM(B274),4)),VALUE(MID(TRIM(B274),4,2)),VALUE(LEFT(TRIM(B274),2))),
  DATEVALUE(TRIM(B274)))),
""CHECK"")"),45601.0)</f>
        <v>45601</v>
      </c>
      <c r="R274" s="2" t="str">
        <f t="shared" si="2"/>
        <v>Nov</v>
      </c>
      <c r="S274" s="2" t="str">
        <f t="shared" si="3"/>
        <v>Q4</v>
      </c>
      <c r="T274" s="2">
        <f t="shared" si="4"/>
        <v>15079.57</v>
      </c>
    </row>
    <row r="275">
      <c r="A275" s="7" t="s">
        <v>720</v>
      </c>
      <c r="B275" s="7" t="s">
        <v>721</v>
      </c>
      <c r="C275" s="7" t="s">
        <v>22</v>
      </c>
      <c r="D275" s="7" t="s">
        <v>62</v>
      </c>
      <c r="E275" s="7" t="s">
        <v>63</v>
      </c>
      <c r="F275" s="7" t="s">
        <v>370</v>
      </c>
      <c r="G275" s="7">
        <v>5788.2</v>
      </c>
      <c r="H275" s="7" t="s">
        <v>26</v>
      </c>
      <c r="I275" s="7" t="s">
        <v>72</v>
      </c>
      <c r="J275" s="7" t="s">
        <v>38</v>
      </c>
      <c r="K275" s="7" t="s">
        <v>39</v>
      </c>
      <c r="L275" s="7"/>
      <c r="N275" s="2" t="str">
        <f t="shared" si="1"/>
        <v>Sales</v>
      </c>
      <c r="O275" s="6">
        <f>IFERROR(__xludf.DUMMYFUNCTION("IFERROR(
  IF(LEN(TRIM(B275))=6,
    DATE(2000+VALUE(RIGHT(TRIM(B275),2)),MATCH(LEFT(TRIM(B275),3),{""Jan"",""Feb"",""Mar"",""Apr"",""May"",""Jun"",""Jul"",""Aug"",""Sep"",""Oct"",""Nov"",""Dec""},0),15),
  IF(REGEXMATCH(TRIM(B275),""^\d{2}[/-]\d{2}[/-]\d"&amp;"{4}$""),
    DATE(VALUE(RIGHT(TRIM(B275),4)),VALUE(MID(TRIM(B275),4,2)),VALUE(LEFT(TRIM(B275),2))),
  DATEVALUE(TRIM(B275)))),
""CHECK"")"),45627.0)</f>
        <v>45627</v>
      </c>
      <c r="R275" s="2" t="str">
        <f t="shared" si="2"/>
        <v>Dec</v>
      </c>
      <c r="S275" s="2" t="str">
        <f t="shared" si="3"/>
        <v>Q4</v>
      </c>
      <c r="T275" s="2">
        <f t="shared" si="4"/>
        <v>5788.2</v>
      </c>
    </row>
    <row r="276">
      <c r="A276" s="5" t="s">
        <v>722</v>
      </c>
      <c r="B276" s="5" t="s">
        <v>723</v>
      </c>
      <c r="C276" s="5" t="s">
        <v>22</v>
      </c>
      <c r="D276" s="5" t="s">
        <v>62</v>
      </c>
      <c r="E276" s="5" t="s">
        <v>111</v>
      </c>
      <c r="F276" s="5" t="s">
        <v>284</v>
      </c>
      <c r="G276" s="5">
        <v>7862.81</v>
      </c>
      <c r="H276" s="5" t="s">
        <v>26</v>
      </c>
      <c r="I276" s="5" t="s">
        <v>137</v>
      </c>
      <c r="J276" s="5" t="s">
        <v>108</v>
      </c>
      <c r="K276" s="5" t="s">
        <v>59</v>
      </c>
      <c r="L276" s="5"/>
      <c r="N276" s="2" t="str">
        <f t="shared" si="1"/>
        <v>Sales</v>
      </c>
      <c r="O276" s="6">
        <f>IFERROR(__xludf.DUMMYFUNCTION("IFERROR(
  IF(LEN(TRIM(B276))=6,
    DATE(2000+VALUE(RIGHT(TRIM(B276),2)),MATCH(LEFT(TRIM(B276),3),{""Jan"",""Feb"",""Mar"",""Apr"",""May"",""Jun"",""Jul"",""Aug"",""Sep"",""Oct"",""Nov"",""Dec""},0),15),
  IF(REGEXMATCH(TRIM(B276),""^\d{2}[/-]\d{2}[/-]\d"&amp;"{4}$""),
    DATE(VALUE(RIGHT(TRIM(B276),4)),VALUE(MID(TRIM(B276),4,2)),VALUE(LEFT(TRIM(B276),2))),
  DATEVALUE(TRIM(B276)))),
""CHECK"")"),45512.0)</f>
        <v>45512</v>
      </c>
      <c r="R276" s="2" t="str">
        <f t="shared" si="2"/>
        <v>Aug</v>
      </c>
      <c r="S276" s="2" t="str">
        <f t="shared" si="3"/>
        <v>Q3</v>
      </c>
      <c r="T276" s="2">
        <f t="shared" si="4"/>
        <v>7862.81</v>
      </c>
    </row>
    <row r="277">
      <c r="A277" s="7" t="s">
        <v>724</v>
      </c>
      <c r="B277" s="7" t="s">
        <v>725</v>
      </c>
      <c r="C277" s="7" t="s">
        <v>34</v>
      </c>
      <c r="D277" s="7" t="s">
        <v>90</v>
      </c>
      <c r="E277" s="7" t="s">
        <v>91</v>
      </c>
      <c r="F277" s="7" t="s">
        <v>500</v>
      </c>
      <c r="G277" s="7">
        <v>11058.33</v>
      </c>
      <c r="H277" s="7" t="s">
        <v>26</v>
      </c>
      <c r="I277" s="7" t="s">
        <v>103</v>
      </c>
      <c r="J277" s="7" t="s">
        <v>66</v>
      </c>
      <c r="K277" s="7" t="s">
        <v>67</v>
      </c>
      <c r="L277" s="7"/>
      <c r="N277" s="2" t="str">
        <f t="shared" si="1"/>
        <v>G&amp;A</v>
      </c>
      <c r="O277" s="6">
        <f>IFERROR(__xludf.DUMMYFUNCTION("IFERROR(
  IF(LEN(TRIM(B277))=6,
    DATE(2000+VALUE(RIGHT(TRIM(B277),2)),MATCH(LEFT(TRIM(B277),3),{""Jan"",""Feb"",""Mar"",""Apr"",""May"",""Jun"",""Jul"",""Aug"",""Sep"",""Oct"",""Nov"",""Dec""},0),15),
  IF(REGEXMATCH(TRIM(B277),""^\d{2}[/-]\d{2}[/-]\d"&amp;"{4}$""),
    DATE(VALUE(RIGHT(TRIM(B277),4)),VALUE(MID(TRIM(B277),4,2)),VALUE(LEFT(TRIM(B277),2))),
  DATEVALUE(TRIM(B277)))),
""CHECK"")"),45406.0)</f>
        <v>45406</v>
      </c>
      <c r="R277" s="2" t="str">
        <f t="shared" si="2"/>
        <v>Apr</v>
      </c>
      <c r="S277" s="2" t="str">
        <f t="shared" si="3"/>
        <v>Q2</v>
      </c>
      <c r="T277" s="2">
        <f t="shared" si="4"/>
        <v>11058.33</v>
      </c>
    </row>
    <row r="278">
      <c r="A278" s="5" t="s">
        <v>726</v>
      </c>
      <c r="B278" s="5" t="s">
        <v>727</v>
      </c>
      <c r="C278" s="5" t="s">
        <v>22</v>
      </c>
      <c r="D278" s="5" t="s">
        <v>85</v>
      </c>
      <c r="E278" s="5" t="s">
        <v>97</v>
      </c>
      <c r="F278" s="5" t="s">
        <v>494</v>
      </c>
      <c r="G278" s="5">
        <v>26681.01</v>
      </c>
      <c r="H278" s="5" t="s">
        <v>26</v>
      </c>
      <c r="I278" s="5" t="s">
        <v>129</v>
      </c>
      <c r="J278" s="5" t="s">
        <v>87</v>
      </c>
      <c r="K278" s="5" t="s">
        <v>67</v>
      </c>
      <c r="L278" s="5"/>
      <c r="N278" s="2" t="str">
        <f t="shared" si="1"/>
        <v>Sales</v>
      </c>
      <c r="O278" s="6">
        <f>IFERROR(__xludf.DUMMYFUNCTION("IFERROR(
  IF(LEN(TRIM(B278))=6,
    DATE(2000+VALUE(RIGHT(TRIM(B278),2)),MATCH(LEFT(TRIM(B278),3),{""Jan"",""Feb"",""Mar"",""Apr"",""May"",""Jun"",""Jul"",""Aug"",""Sep"",""Oct"",""Nov"",""Dec""},0),15),
  IF(REGEXMATCH(TRIM(B278),""^\d{2}[/-]\d{2}[/-]\d"&amp;"{4}$""),
    DATE(VALUE(RIGHT(TRIM(B278),4)),VALUE(MID(TRIM(B278),4,2)),VALUE(LEFT(TRIM(B278),2))),
  DATEVALUE(TRIM(B278)))),
""CHECK"")"),46027.0)</f>
        <v>46027</v>
      </c>
      <c r="R278" s="2" t="str">
        <f t="shared" si="2"/>
        <v>Jan</v>
      </c>
      <c r="S278" s="2" t="str">
        <f t="shared" si="3"/>
        <v>Q1</v>
      </c>
      <c r="T278" s="2">
        <f t="shared" si="4"/>
        <v>26681.01</v>
      </c>
    </row>
    <row r="279">
      <c r="A279" s="7" t="s">
        <v>728</v>
      </c>
      <c r="B279" s="7" t="s">
        <v>729</v>
      </c>
      <c r="C279" s="7" t="s">
        <v>34</v>
      </c>
      <c r="D279" s="7" t="s">
        <v>51</v>
      </c>
      <c r="E279" s="7" t="s">
        <v>74</v>
      </c>
      <c r="F279" s="7" t="s">
        <v>730</v>
      </c>
      <c r="G279" s="7">
        <v>19523.77</v>
      </c>
      <c r="H279" s="7" t="s">
        <v>26</v>
      </c>
      <c r="I279" s="7" t="s">
        <v>80</v>
      </c>
      <c r="J279" s="7" t="s">
        <v>73</v>
      </c>
      <c r="K279" s="7" t="s">
        <v>59</v>
      </c>
      <c r="L279" s="7"/>
      <c r="N279" s="2" t="str">
        <f t="shared" si="1"/>
        <v>Customer Success</v>
      </c>
      <c r="O279" s="6">
        <f>IFERROR(__xludf.DUMMYFUNCTION("IFERROR(
  IF(LEN(TRIM(B279))=6,
    DATE(2000+VALUE(RIGHT(TRIM(B279),2)),MATCH(LEFT(TRIM(B279),3),{""Jan"",""Feb"",""Mar"",""Apr"",""May"",""Jun"",""Jul"",""Aug"",""Sep"",""Oct"",""Nov"",""Dec""},0),15),
  IF(REGEXMATCH(TRIM(B279),""^\d{2}[/-]\d{2}[/-]\d"&amp;"{4}$""),
    DATE(VALUE(RIGHT(TRIM(B279),4)),VALUE(MID(TRIM(B279),4,2)),VALUE(LEFT(TRIM(B279),2))),
  DATEVALUE(TRIM(B279)))),
""CHECK"")"),45564.0)</f>
        <v>45564</v>
      </c>
      <c r="R279" s="2" t="str">
        <f t="shared" si="2"/>
        <v>Sep</v>
      </c>
      <c r="S279" s="2" t="str">
        <f t="shared" si="3"/>
        <v>Q3</v>
      </c>
      <c r="T279" s="2">
        <f t="shared" si="4"/>
        <v>19523.77</v>
      </c>
    </row>
    <row r="280">
      <c r="A280" s="5" t="s">
        <v>731</v>
      </c>
      <c r="B280" s="5" t="s">
        <v>732</v>
      </c>
      <c r="C280" s="5" t="s">
        <v>22</v>
      </c>
      <c r="D280" s="5" t="s">
        <v>23</v>
      </c>
      <c r="E280" s="5" t="s">
        <v>24</v>
      </c>
      <c r="F280" s="5" t="s">
        <v>25</v>
      </c>
      <c r="G280" s="5">
        <v>140449.03</v>
      </c>
      <c r="H280" s="5" t="s">
        <v>26</v>
      </c>
      <c r="I280" s="5" t="s">
        <v>65</v>
      </c>
      <c r="J280" s="5" t="s">
        <v>38</v>
      </c>
      <c r="K280" s="5" t="s">
        <v>39</v>
      </c>
      <c r="L280" s="5"/>
      <c r="N280" s="2" t="str">
        <f t="shared" si="1"/>
        <v>Sales</v>
      </c>
      <c r="O280" s="6">
        <f>IFERROR(__xludf.DUMMYFUNCTION("IFERROR(
  IF(LEN(TRIM(B280))=6,
    DATE(2000+VALUE(RIGHT(TRIM(B280),2)),MATCH(LEFT(TRIM(B280),3),{""Jan"",""Feb"",""Mar"",""Apr"",""May"",""Jun"",""Jul"",""Aug"",""Sep"",""Oct"",""Nov"",""Dec""},0),15),
  IF(REGEXMATCH(TRIM(B280),""^\d{2}[/-]\d{2}[/-]\d"&amp;"{4}$""),
    DATE(VALUE(RIGHT(TRIM(B280),4)),VALUE(MID(TRIM(B280),4,2)),VALUE(LEFT(TRIM(B280),2))),
  DATEVALUE(TRIM(B280)))),
""CHECK"")"),45627.0)</f>
        <v>45627</v>
      </c>
      <c r="R280" s="2" t="str">
        <f t="shared" si="2"/>
        <v>Dec</v>
      </c>
      <c r="S280" s="2" t="str">
        <f t="shared" si="3"/>
        <v>Q4</v>
      </c>
      <c r="T280" s="2">
        <f t="shared" si="4"/>
        <v>140449.03</v>
      </c>
    </row>
    <row r="281">
      <c r="A281" s="7" t="s">
        <v>733</v>
      </c>
      <c r="B281" s="7" t="s">
        <v>295</v>
      </c>
      <c r="C281" s="7" t="s">
        <v>34</v>
      </c>
      <c r="D281" s="7" t="s">
        <v>82</v>
      </c>
      <c r="E281" s="7" t="s">
        <v>81</v>
      </c>
      <c r="F281" s="7" t="s">
        <v>426</v>
      </c>
      <c r="G281" s="7">
        <v>14127.64</v>
      </c>
      <c r="H281" s="7" t="s">
        <v>26</v>
      </c>
      <c r="I281" s="7" t="s">
        <v>141</v>
      </c>
      <c r="J281" s="7" t="s">
        <v>87</v>
      </c>
      <c r="K281" s="7" t="s">
        <v>67</v>
      </c>
      <c r="L281" s="7"/>
      <c r="N281" s="2" t="str">
        <f t="shared" si="1"/>
        <v>Engineering</v>
      </c>
      <c r="O281" s="6">
        <f>IFERROR(__xludf.DUMMYFUNCTION("IFERROR(
  IF(LEN(TRIM(B281))=6,
    DATE(2000+VALUE(RIGHT(TRIM(B281),2)),MATCH(LEFT(TRIM(B281),3),{""Jan"",""Feb"",""Mar"",""Apr"",""May"",""Jun"",""Jul"",""Aug"",""Sep"",""Oct"",""Nov"",""Dec""},0),15),
  IF(REGEXMATCH(TRIM(B281),""^\d{2}[/-]\d{2}[/-]\d"&amp;"{4}$""),
    DATE(VALUE(RIGHT(TRIM(B281),4)),VALUE(MID(TRIM(B281),4,2)),VALUE(LEFT(TRIM(B281),2))),
  DATEVALUE(TRIM(B281)))),
""CHECK"")"),45427.0)</f>
        <v>45427</v>
      </c>
      <c r="R281" s="2" t="str">
        <f t="shared" si="2"/>
        <v>May</v>
      </c>
      <c r="S281" s="2" t="str">
        <f t="shared" si="3"/>
        <v>Q2</v>
      </c>
      <c r="T281" s="2">
        <f t="shared" si="4"/>
        <v>14127.64</v>
      </c>
    </row>
    <row r="282">
      <c r="A282" s="5" t="s">
        <v>734</v>
      </c>
      <c r="B282" s="5" t="s">
        <v>646</v>
      </c>
      <c r="C282" s="5" t="s">
        <v>34</v>
      </c>
      <c r="D282" s="5" t="s">
        <v>31</v>
      </c>
      <c r="E282" s="5" t="s">
        <v>145</v>
      </c>
      <c r="F282" s="5" t="s">
        <v>716</v>
      </c>
      <c r="G282" s="5">
        <v>18203.89</v>
      </c>
      <c r="H282" s="5" t="s">
        <v>26</v>
      </c>
      <c r="I282" s="5" t="s">
        <v>48</v>
      </c>
      <c r="J282" s="5" t="s">
        <v>28</v>
      </c>
      <c r="K282" s="5" t="s">
        <v>29</v>
      </c>
      <c r="L282" s="5"/>
      <c r="N282" s="2" t="str">
        <f t="shared" si="1"/>
        <v>Cloud Infrastructure</v>
      </c>
      <c r="O282" s="6">
        <f>IFERROR(__xludf.DUMMYFUNCTION("IFERROR(
  IF(LEN(TRIM(B282))=6,
    DATE(2000+VALUE(RIGHT(TRIM(B282),2)),MATCH(LEFT(TRIM(B282),3),{""Jan"",""Feb"",""Mar"",""Apr"",""May"",""Jun"",""Jul"",""Aug"",""Sep"",""Oct"",""Nov"",""Dec""},0),15),
  IF(REGEXMATCH(TRIM(B282),""^\d{2}[/-]\d{2}[/-]\d"&amp;"{4}$""),
    DATE(VALUE(RIGHT(TRIM(B282),4)),VALUE(MID(TRIM(B282),4,2)),VALUE(LEFT(TRIM(B282),2))),
  DATEVALUE(TRIM(B282)))),
""CHECK"")"),45321.0)</f>
        <v>45321</v>
      </c>
      <c r="R282" s="2" t="str">
        <f t="shared" si="2"/>
        <v>Jan</v>
      </c>
      <c r="S282" s="2" t="str">
        <f t="shared" si="3"/>
        <v>Q1</v>
      </c>
      <c r="T282" s="2">
        <f t="shared" si="4"/>
        <v>18203.89</v>
      </c>
    </row>
    <row r="283">
      <c r="A283" s="7" t="s">
        <v>735</v>
      </c>
      <c r="B283" s="7" t="s">
        <v>544</v>
      </c>
      <c r="C283" s="7" t="s">
        <v>34</v>
      </c>
      <c r="D283" s="7" t="s">
        <v>54</v>
      </c>
      <c r="E283" s="7" t="s">
        <v>124</v>
      </c>
      <c r="F283" s="7" t="s">
        <v>112</v>
      </c>
      <c r="G283" s="7">
        <v>91533.22</v>
      </c>
      <c r="H283" s="7" t="s">
        <v>26</v>
      </c>
      <c r="I283" s="7" t="s">
        <v>57</v>
      </c>
      <c r="J283" s="7" t="s">
        <v>87</v>
      </c>
      <c r="K283" s="7" t="s">
        <v>67</v>
      </c>
      <c r="L283" s="7"/>
      <c r="N283" s="2" t="str">
        <f t="shared" si="1"/>
        <v>Marketing</v>
      </c>
      <c r="O283" s="6">
        <f>IFERROR(__xludf.DUMMYFUNCTION("IFERROR(
  IF(LEN(TRIM(B283))=6,
    DATE(2000+VALUE(RIGHT(TRIM(B283),2)),MATCH(LEFT(TRIM(B283),3),{""Jan"",""Feb"",""Mar"",""Apr"",""May"",""Jun"",""Jul"",""Aug"",""Sep"",""Oct"",""Nov"",""Dec""},0),15),
  IF(REGEXMATCH(TRIM(B283),""^\d{2}[/-]\d{2}[/-]\d"&amp;"{4}$""),
    DATE(VALUE(RIGHT(TRIM(B283),4)),VALUE(MID(TRIM(B283),4,2)),VALUE(LEFT(TRIM(B283),2))),
  DATEVALUE(TRIM(B283)))),
""CHECK"")"),45436.0)</f>
        <v>45436</v>
      </c>
      <c r="R283" s="2" t="str">
        <f t="shared" si="2"/>
        <v>May</v>
      </c>
      <c r="S283" s="2" t="str">
        <f t="shared" si="3"/>
        <v>Q2</v>
      </c>
      <c r="T283" s="2">
        <f t="shared" si="4"/>
        <v>91533.22</v>
      </c>
    </row>
    <row r="284">
      <c r="A284" s="5" t="s">
        <v>736</v>
      </c>
      <c r="B284" s="5" t="s">
        <v>737</v>
      </c>
      <c r="C284" s="5" t="s">
        <v>34</v>
      </c>
      <c r="D284" s="5" t="s">
        <v>31</v>
      </c>
      <c r="E284" s="5" t="s">
        <v>145</v>
      </c>
      <c r="F284" s="5" t="s">
        <v>649</v>
      </c>
      <c r="G284" s="5">
        <v>13063.0</v>
      </c>
      <c r="H284" s="5" t="s">
        <v>79</v>
      </c>
      <c r="I284" s="5" t="s">
        <v>80</v>
      </c>
      <c r="J284" s="5" t="s">
        <v>58</v>
      </c>
      <c r="K284" s="5" t="s">
        <v>59</v>
      </c>
      <c r="L284" s="5"/>
      <c r="N284" s="2" t="str">
        <f t="shared" si="1"/>
        <v>Cloud Infrastructure</v>
      </c>
      <c r="O284" s="6">
        <f>IFERROR(__xludf.DUMMYFUNCTION("IFERROR(
  IF(LEN(TRIM(B284))=6,
    DATE(2000+VALUE(RIGHT(TRIM(B284),2)),MATCH(LEFT(TRIM(B284),3),{""Jan"",""Feb"",""Mar"",""Apr"",""May"",""Jun"",""Jul"",""Aug"",""Sep"",""Oct"",""Nov"",""Dec""},0),15),
  IF(REGEXMATCH(TRIM(B284),""^\d{2}[/-]\d{2}[/-]\d"&amp;"{4}$""),
    DATE(VALUE(RIGHT(TRIM(B284),4)),VALUE(MID(TRIM(B284),4,2)),VALUE(LEFT(TRIM(B284),2))),
  DATEVALUE(TRIM(B284)))),
""CHECK"")"),45488.0)</f>
        <v>45488</v>
      </c>
      <c r="R284" s="2" t="str">
        <f t="shared" si="2"/>
        <v>Jul</v>
      </c>
      <c r="S284" s="2" t="str">
        <f t="shared" si="3"/>
        <v>Q3</v>
      </c>
      <c r="T284" s="2">
        <f t="shared" si="4"/>
        <v>16590.01</v>
      </c>
    </row>
    <row r="285">
      <c r="A285" s="7" t="s">
        <v>738</v>
      </c>
      <c r="B285" s="7" t="s">
        <v>739</v>
      </c>
      <c r="C285" s="7" t="s">
        <v>34</v>
      </c>
      <c r="D285" s="7" t="s">
        <v>111</v>
      </c>
      <c r="E285" s="7" t="s">
        <v>63</v>
      </c>
      <c r="F285" s="7" t="s">
        <v>432</v>
      </c>
      <c r="G285" s="7">
        <v>61281.36</v>
      </c>
      <c r="H285" s="7" t="s">
        <v>26</v>
      </c>
      <c r="I285" s="7" t="s">
        <v>57</v>
      </c>
      <c r="J285" s="7" t="s">
        <v>126</v>
      </c>
      <c r="K285" s="7" t="s">
        <v>29</v>
      </c>
      <c r="L285" s="7"/>
      <c r="N285" s="2" t="str">
        <f t="shared" si="1"/>
        <v>Sales</v>
      </c>
      <c r="O285" s="6">
        <f>IFERROR(__xludf.DUMMYFUNCTION("IFERROR(
  IF(LEN(TRIM(B285))=6,
    DATE(2000+VALUE(RIGHT(TRIM(B285),2)),MATCH(LEFT(TRIM(B285),3),{""Jan"",""Feb"",""Mar"",""Apr"",""May"",""Jun"",""Jul"",""Aug"",""Sep"",""Oct"",""Nov"",""Dec""},0),15),
  IF(REGEXMATCH(TRIM(B285),""^\d{2}[/-]\d{2}[/-]\d"&amp;"{4}$""),
    DATE(VALUE(RIGHT(TRIM(B285),4)),VALUE(MID(TRIM(B285),4,2)),VALUE(LEFT(TRIM(B285),2))),
  DATEVALUE(TRIM(B285)))),
""CHECK"")"),45351.0)</f>
        <v>45351</v>
      </c>
      <c r="R285" s="2" t="str">
        <f t="shared" si="2"/>
        <v>Feb</v>
      </c>
      <c r="S285" s="2" t="str">
        <f t="shared" si="3"/>
        <v>Q1</v>
      </c>
      <c r="T285" s="2">
        <f t="shared" si="4"/>
        <v>61281.36</v>
      </c>
    </row>
    <row r="286">
      <c r="A286" s="5" t="s">
        <v>740</v>
      </c>
      <c r="B286" s="5" t="s">
        <v>244</v>
      </c>
      <c r="C286" s="5" t="s">
        <v>22</v>
      </c>
      <c r="D286" s="5" t="s">
        <v>62</v>
      </c>
      <c r="E286" s="5" t="s">
        <v>24</v>
      </c>
      <c r="F286" s="5" t="s">
        <v>98</v>
      </c>
      <c r="G286" s="5">
        <v>16767.89</v>
      </c>
      <c r="H286" s="5" t="s">
        <v>26</v>
      </c>
      <c r="I286" s="5" t="s">
        <v>43</v>
      </c>
      <c r="J286" s="5" t="s">
        <v>108</v>
      </c>
      <c r="K286" s="5" t="s">
        <v>59</v>
      </c>
      <c r="L286" s="5"/>
      <c r="N286" s="2" t="str">
        <f t="shared" si="1"/>
        <v>Sales</v>
      </c>
      <c r="O286" s="6">
        <f>IFERROR(__xludf.DUMMYFUNCTION("IFERROR(
  IF(LEN(TRIM(B286))=6,
    DATE(2000+VALUE(RIGHT(TRIM(B286),2)),MATCH(LEFT(TRIM(B286),3),{""Jan"",""Feb"",""Mar"",""Apr"",""May"",""Jun"",""Jul"",""Aug"",""Sep"",""Oct"",""Nov"",""Dec""},0),15),
  IF(REGEXMATCH(TRIM(B286),""^\d{2}[/-]\d{2}[/-]\d"&amp;"{4}$""),
    DATE(VALUE(RIGHT(TRIM(B286),4)),VALUE(MID(TRIM(B286),4,2)),VALUE(LEFT(TRIM(B286),2))),
  DATEVALUE(TRIM(B286)))),
""CHECK"")"),46211.0)</f>
        <v>46211</v>
      </c>
      <c r="R286" s="2" t="str">
        <f t="shared" si="2"/>
        <v>Jul</v>
      </c>
      <c r="S286" s="2" t="str">
        <f t="shared" si="3"/>
        <v>Q3</v>
      </c>
      <c r="T286" s="2">
        <f t="shared" si="4"/>
        <v>16767.89</v>
      </c>
    </row>
    <row r="287">
      <c r="A287" s="7" t="s">
        <v>741</v>
      </c>
      <c r="B287" s="7" t="s">
        <v>742</v>
      </c>
      <c r="C287" s="7" t="s">
        <v>34</v>
      </c>
      <c r="D287" s="7" t="s">
        <v>111</v>
      </c>
      <c r="E287" s="7" t="s">
        <v>63</v>
      </c>
      <c r="F287" s="7" t="s">
        <v>640</v>
      </c>
      <c r="G287" s="7">
        <v>59940.33</v>
      </c>
      <c r="H287" s="7" t="s">
        <v>26</v>
      </c>
      <c r="I287" s="7" t="s">
        <v>37</v>
      </c>
      <c r="J287" s="7" t="s">
        <v>142</v>
      </c>
      <c r="K287" s="7" t="s">
        <v>39</v>
      </c>
      <c r="L287" s="7"/>
      <c r="N287" s="2" t="str">
        <f t="shared" si="1"/>
        <v>Sales</v>
      </c>
      <c r="O287" s="6">
        <f>IFERROR(__xludf.DUMMYFUNCTION("IFERROR(
  IF(LEN(TRIM(B287))=6,
    DATE(2000+VALUE(RIGHT(TRIM(B287),2)),MATCH(LEFT(TRIM(B287),3),{""Jan"",""Feb"",""Mar"",""Apr"",""May"",""Jun"",""Jul"",""Aug"",""Sep"",""Oct"",""Nov"",""Dec""},0),15),
  IF(REGEXMATCH(TRIM(B287),""^\d{2}[/-]\d{2}[/-]\d"&amp;"{4}$""),
    DATE(VALUE(RIGHT(TRIM(B287),4)),VALUE(MID(TRIM(B287),4,2)),VALUE(LEFT(TRIM(B287),2))),
  DATEVALUE(TRIM(B287)))),
""CHECK"")"),46184.0)</f>
        <v>46184</v>
      </c>
      <c r="R287" s="2" t="str">
        <f t="shared" si="2"/>
        <v>Jun</v>
      </c>
      <c r="S287" s="2" t="str">
        <f t="shared" si="3"/>
        <v>Q2</v>
      </c>
      <c r="T287" s="2">
        <f t="shared" si="4"/>
        <v>59940.33</v>
      </c>
    </row>
    <row r="288">
      <c r="A288" s="5" t="s">
        <v>743</v>
      </c>
      <c r="B288" s="5" t="s">
        <v>744</v>
      </c>
      <c r="C288" s="5" t="s">
        <v>34</v>
      </c>
      <c r="D288" s="5" t="s">
        <v>82</v>
      </c>
      <c r="E288" s="5" t="s">
        <v>82</v>
      </c>
      <c r="F288" s="5" t="s">
        <v>745</v>
      </c>
      <c r="G288" s="5">
        <v>19788.0</v>
      </c>
      <c r="H288" s="5" t="s">
        <v>26</v>
      </c>
      <c r="I288" s="5" t="s">
        <v>237</v>
      </c>
      <c r="J288" s="5" t="s">
        <v>38</v>
      </c>
      <c r="K288" s="5" t="s">
        <v>39</v>
      </c>
      <c r="L288" s="5"/>
      <c r="N288" s="2" t="str">
        <f t="shared" si="1"/>
        <v>Engineering</v>
      </c>
      <c r="O288" s="6">
        <f>IFERROR(__xludf.DUMMYFUNCTION("IFERROR(
  IF(LEN(TRIM(B288))=6,
    DATE(2000+VALUE(RIGHT(TRIM(B288),2)),MATCH(LEFT(TRIM(B288),3),{""Jan"",""Feb"",""Mar"",""Apr"",""May"",""Jun"",""Jul"",""Aug"",""Sep"",""Oct"",""Nov"",""Dec""},0),15),
  IF(REGEXMATCH(TRIM(B288),""^\d{2}[/-]\d{2}[/-]\d"&amp;"{4}$""),
    DATE(VALUE(RIGHT(TRIM(B288),4)),VALUE(MID(TRIM(B288),4,2)),VALUE(LEFT(TRIM(B288),2))),
  DATEVALUE(TRIM(B288)))),
""CHECK"")"),45635.0)</f>
        <v>45635</v>
      </c>
      <c r="R288" s="2" t="str">
        <f t="shared" si="2"/>
        <v>Dec</v>
      </c>
      <c r="S288" s="2" t="str">
        <f t="shared" si="3"/>
        <v>Q4</v>
      </c>
      <c r="T288" s="2">
        <f t="shared" si="4"/>
        <v>19788</v>
      </c>
    </row>
    <row r="289">
      <c r="A289" s="7" t="s">
        <v>746</v>
      </c>
      <c r="B289" s="7" t="s">
        <v>128</v>
      </c>
      <c r="C289" s="7" t="s">
        <v>34</v>
      </c>
      <c r="D289" s="7" t="s">
        <v>51</v>
      </c>
      <c r="E289" s="7" t="s">
        <v>50</v>
      </c>
      <c r="F289" s="7" t="s">
        <v>747</v>
      </c>
      <c r="G289" s="7">
        <v>17575.3</v>
      </c>
      <c r="H289" s="7" t="s">
        <v>26</v>
      </c>
      <c r="I289" s="7" t="s">
        <v>168</v>
      </c>
      <c r="J289" s="7" t="s">
        <v>28</v>
      </c>
      <c r="K289" s="7" t="s">
        <v>29</v>
      </c>
      <c r="L289" s="7"/>
      <c r="N289" s="2" t="str">
        <f t="shared" si="1"/>
        <v>Customer Success</v>
      </c>
      <c r="O289" s="6">
        <f>IFERROR(__xludf.DUMMYFUNCTION("IFERROR(
  IF(LEN(TRIM(B289))=6,
    DATE(2000+VALUE(RIGHT(TRIM(B289),2)),MATCH(LEFT(TRIM(B289),3),{""Jan"",""Feb"",""Mar"",""Apr"",""May"",""Jun"",""Jul"",""Aug"",""Sep"",""Oct"",""Nov"",""Dec""},0),15),
  IF(REGEXMATCH(TRIM(B289),""^\d{2}[/-]\d{2}[/-]\d"&amp;"{4}$""),
    DATE(VALUE(RIGHT(TRIM(B289),4)),VALUE(MID(TRIM(B289),4,2)),VALUE(LEFT(TRIM(B289),2))),
  DATEVALUE(TRIM(B289)))),
""CHECK"")"),45306.0)</f>
        <v>45306</v>
      </c>
      <c r="R289" s="2" t="str">
        <f t="shared" si="2"/>
        <v>Jan</v>
      </c>
      <c r="S289" s="2" t="str">
        <f t="shared" si="3"/>
        <v>Q1</v>
      </c>
      <c r="T289" s="2">
        <f t="shared" si="4"/>
        <v>17575.3</v>
      </c>
    </row>
    <row r="290">
      <c r="A290" s="5" t="s">
        <v>748</v>
      </c>
      <c r="B290" s="5" t="s">
        <v>160</v>
      </c>
      <c r="C290" s="5" t="s">
        <v>22</v>
      </c>
      <c r="D290" s="5" t="s">
        <v>23</v>
      </c>
      <c r="E290" s="5" t="s">
        <v>63</v>
      </c>
      <c r="F290" s="5" t="s">
        <v>25</v>
      </c>
      <c r="G290" s="5">
        <v>125388.27</v>
      </c>
      <c r="H290" s="5" t="s">
        <v>26</v>
      </c>
      <c r="I290" s="5" t="s">
        <v>137</v>
      </c>
      <c r="J290" s="5" t="s">
        <v>87</v>
      </c>
      <c r="K290" s="5" t="s">
        <v>67</v>
      </c>
      <c r="L290" s="5"/>
      <c r="N290" s="2" t="str">
        <f t="shared" si="1"/>
        <v>Sales</v>
      </c>
      <c r="O290" s="6">
        <f>IFERROR(__xludf.DUMMYFUNCTION("IFERROR(
  IF(LEN(TRIM(B290))=6,
    DATE(2000+VALUE(RIGHT(TRIM(B290),2)),MATCH(LEFT(TRIM(B290),3),{""Jan"",""Feb"",""Mar"",""Apr"",""May"",""Jun"",""Jul"",""Aug"",""Sep"",""Oct"",""Nov"",""Dec""},0),15),
  IF(REGEXMATCH(TRIM(B290),""^\d{2}[/-]\d{2}[/-]\d"&amp;"{4}$""),
    DATE(VALUE(RIGHT(TRIM(B290),4)),VALUE(MID(TRIM(B290),4,2)),VALUE(LEFT(TRIM(B290),2))),
  DATEVALUE(TRIM(B290)))),
""CHECK"")"),45434.0)</f>
        <v>45434</v>
      </c>
      <c r="R290" s="2" t="str">
        <f t="shared" si="2"/>
        <v>May</v>
      </c>
      <c r="S290" s="2" t="str">
        <f t="shared" si="3"/>
        <v>Q2</v>
      </c>
      <c r="T290" s="2">
        <f t="shared" si="4"/>
        <v>125388.27</v>
      </c>
    </row>
    <row r="291">
      <c r="A291" s="7" t="s">
        <v>749</v>
      </c>
      <c r="B291" s="7" t="s">
        <v>329</v>
      </c>
      <c r="C291" s="7" t="s">
        <v>34</v>
      </c>
      <c r="D291" s="7" t="s">
        <v>54</v>
      </c>
      <c r="E291" s="7" t="s">
        <v>124</v>
      </c>
      <c r="F291" s="7" t="s">
        <v>446</v>
      </c>
      <c r="G291" s="7">
        <v>7372.92</v>
      </c>
      <c r="H291" s="7" t="s">
        <v>26</v>
      </c>
      <c r="I291" s="7" t="s">
        <v>168</v>
      </c>
      <c r="J291" s="7" t="s">
        <v>108</v>
      </c>
      <c r="K291" s="7" t="s">
        <v>59</v>
      </c>
      <c r="L291" s="7"/>
      <c r="N291" s="2" t="str">
        <f t="shared" si="1"/>
        <v>Marketing</v>
      </c>
      <c r="O291" s="6">
        <f>IFERROR(__xludf.DUMMYFUNCTION("IFERROR(
  IF(LEN(TRIM(B291))=6,
    DATE(2000+VALUE(RIGHT(TRIM(B291),2)),MATCH(LEFT(TRIM(B291),3),{""Jan"",""Feb"",""Mar"",""Apr"",""May"",""Jun"",""Jul"",""Aug"",""Sep"",""Oct"",""Nov"",""Dec""},0),15),
  IF(REGEXMATCH(TRIM(B291),""^\d{2}[/-]\d{2}[/-]\d"&amp;"{4}$""),
    DATE(VALUE(RIGHT(TRIM(B291),4)),VALUE(MID(TRIM(B291),4,2)),VALUE(LEFT(TRIM(B291),2))),
  DATEVALUE(TRIM(B291)))),
""CHECK"")"),45506.0)</f>
        <v>45506</v>
      </c>
      <c r="R291" s="2" t="str">
        <f t="shared" si="2"/>
        <v>Aug</v>
      </c>
      <c r="S291" s="2" t="str">
        <f t="shared" si="3"/>
        <v>Q3</v>
      </c>
      <c r="T291" s="2">
        <f t="shared" si="4"/>
        <v>7372.92</v>
      </c>
    </row>
    <row r="292">
      <c r="A292" s="5" t="s">
        <v>750</v>
      </c>
      <c r="B292" s="5" t="s">
        <v>751</v>
      </c>
      <c r="C292" s="5" t="s">
        <v>22</v>
      </c>
      <c r="D292" s="5" t="s">
        <v>62</v>
      </c>
      <c r="E292" s="5" t="s">
        <v>97</v>
      </c>
      <c r="F292" s="5" t="s">
        <v>221</v>
      </c>
      <c r="G292" s="5">
        <v>9191.43</v>
      </c>
      <c r="H292" s="5" t="s">
        <v>26</v>
      </c>
      <c r="I292" s="5" t="s">
        <v>65</v>
      </c>
      <c r="J292" s="5" t="s">
        <v>87</v>
      </c>
      <c r="K292" s="5" t="s">
        <v>67</v>
      </c>
      <c r="L292" s="5"/>
      <c r="N292" s="2" t="str">
        <f t="shared" si="1"/>
        <v>Sales</v>
      </c>
      <c r="O292" s="6">
        <f>IFERROR(__xludf.DUMMYFUNCTION("IFERROR(
  IF(LEN(TRIM(B292))=6,
    DATE(2000+VALUE(RIGHT(TRIM(B292),2)),MATCH(LEFT(TRIM(B292),3),{""Jan"",""Feb"",""Mar"",""Apr"",""May"",""Jun"",""Jul"",""Aug"",""Sep"",""Oct"",""Nov"",""Dec""},0),15),
  IF(REGEXMATCH(TRIM(B292),""^\d{2}[/-]\d{2}[/-]\d"&amp;"{4}$""),
    DATE(VALUE(RIGHT(TRIM(B292),4)),VALUE(MID(TRIM(B292),4,2)),VALUE(LEFT(TRIM(B292),2))),
  DATEVALUE(TRIM(B292)))),
""CHECK"")"),45417.0)</f>
        <v>45417</v>
      </c>
      <c r="R292" s="2" t="str">
        <f t="shared" si="2"/>
        <v>May</v>
      </c>
      <c r="S292" s="2" t="str">
        <f t="shared" si="3"/>
        <v>Q2</v>
      </c>
      <c r="T292" s="2">
        <f t="shared" si="4"/>
        <v>9191.43</v>
      </c>
    </row>
    <row r="293">
      <c r="A293" s="9" t="s">
        <v>752</v>
      </c>
      <c r="B293" s="7" t="s">
        <v>692</v>
      </c>
      <c r="C293" s="7" t="s">
        <v>34</v>
      </c>
      <c r="D293" s="7" t="s">
        <v>111</v>
      </c>
      <c r="E293" s="7" t="s">
        <v>97</v>
      </c>
      <c r="F293" s="7" t="s">
        <v>436</v>
      </c>
      <c r="G293" s="7">
        <v>19254.34</v>
      </c>
      <c r="H293" s="7" t="s">
        <v>26</v>
      </c>
      <c r="I293" s="7" t="s">
        <v>237</v>
      </c>
      <c r="J293" s="7" t="s">
        <v>28</v>
      </c>
      <c r="K293" s="7" t="s">
        <v>29</v>
      </c>
      <c r="L293" s="7"/>
      <c r="N293" s="2" t="str">
        <f t="shared" si="1"/>
        <v>Sales</v>
      </c>
      <c r="O293" s="6">
        <f>IFERROR(__xludf.DUMMYFUNCTION("IFERROR(
  IF(LEN(TRIM(B293))=6,
    DATE(2000+VALUE(RIGHT(TRIM(B293),2)),MATCH(LEFT(TRIM(B293),3),{""Jan"",""Feb"",""Mar"",""Apr"",""May"",""Jun"",""Jul"",""Aug"",""Sep"",""Oct"",""Nov"",""Dec""},0),15),
  IF(REGEXMATCH(TRIM(B293),""^\d{2}[/-]\d{2}[/-]\d"&amp;"{4}$""),
    DATE(VALUE(RIGHT(TRIM(B293),4)),VALUE(MID(TRIM(B293),4,2)),VALUE(LEFT(TRIM(B293),2))),
  DATEVALUE(TRIM(B293)))),
""CHECK"")"),45306.0)</f>
        <v>45306</v>
      </c>
      <c r="R293" s="2" t="str">
        <f t="shared" si="2"/>
        <v>Jan</v>
      </c>
      <c r="S293" s="2" t="str">
        <f t="shared" si="3"/>
        <v>Q1</v>
      </c>
      <c r="T293" s="2">
        <f t="shared" si="4"/>
        <v>19254.34</v>
      </c>
    </row>
    <row r="294">
      <c r="A294" s="10" t="s">
        <v>753</v>
      </c>
      <c r="B294" s="5" t="s">
        <v>754</v>
      </c>
      <c r="C294" s="5" t="s">
        <v>34</v>
      </c>
      <c r="D294" s="5" t="s">
        <v>111</v>
      </c>
      <c r="E294" s="5" t="s">
        <v>97</v>
      </c>
      <c r="F294" s="5" t="s">
        <v>446</v>
      </c>
      <c r="G294" s="5">
        <v>18902.87</v>
      </c>
      <c r="H294" s="5" t="s">
        <v>26</v>
      </c>
      <c r="I294" s="5" t="s">
        <v>168</v>
      </c>
      <c r="J294" s="5" t="s">
        <v>38</v>
      </c>
      <c r="K294" s="5" t="s">
        <v>39</v>
      </c>
      <c r="L294" s="5"/>
      <c r="N294" s="2" t="str">
        <f t="shared" si="1"/>
        <v>Sales</v>
      </c>
      <c r="O294" s="6">
        <f>IFERROR(__xludf.DUMMYFUNCTION("IFERROR(
  IF(LEN(TRIM(B294))=6,
    DATE(2000+VALUE(RIGHT(TRIM(B294),2)),MATCH(LEFT(TRIM(B294),3),{""Jan"",""Feb"",""Mar"",""Apr"",""May"",""Jun"",""Jul"",""Aug"",""Sep"",""Oct"",""Nov"",""Dec""},0),15),
  IF(REGEXMATCH(TRIM(B294),""^\d{2}[/-]\d{2}[/-]\d"&amp;"{4}$""),
    DATE(VALUE(RIGHT(TRIM(B294),4)),VALUE(MID(TRIM(B294),4,2)),VALUE(LEFT(TRIM(B294),2))),
  DATEVALUE(TRIM(B294)))),
""CHECK"")"),45789.0)</f>
        <v>45789</v>
      </c>
      <c r="R294" s="2" t="str">
        <f t="shared" si="2"/>
        <v>May</v>
      </c>
      <c r="S294" s="2" t="str">
        <f t="shared" si="3"/>
        <v>Q2</v>
      </c>
      <c r="T294" s="2">
        <f t="shared" si="4"/>
        <v>18902.87</v>
      </c>
    </row>
    <row r="295">
      <c r="A295" s="9" t="s">
        <v>755</v>
      </c>
      <c r="B295" s="7" t="s">
        <v>756</v>
      </c>
      <c r="C295" s="7" t="s">
        <v>34</v>
      </c>
      <c r="D295" s="7" t="s">
        <v>90</v>
      </c>
      <c r="E295" s="7" t="s">
        <v>91</v>
      </c>
      <c r="F295" s="7" t="s">
        <v>387</v>
      </c>
      <c r="G295" s="7">
        <v>11361.58</v>
      </c>
      <c r="H295" s="7" t="s">
        <v>26</v>
      </c>
      <c r="I295" s="7" t="s">
        <v>237</v>
      </c>
      <c r="J295" s="7" t="s">
        <v>38</v>
      </c>
      <c r="K295" s="7" t="s">
        <v>39</v>
      </c>
      <c r="L295" s="7"/>
      <c r="N295" s="2" t="str">
        <f t="shared" si="1"/>
        <v>G&amp;A</v>
      </c>
      <c r="O295" s="6">
        <f>IFERROR(__xludf.DUMMYFUNCTION("IFERROR(
  IF(LEN(TRIM(B295))=6,
    DATE(2000+VALUE(RIGHT(TRIM(B295),2)),MATCH(LEFT(TRIM(B295),3),{""Jan"",""Feb"",""Mar"",""Apr"",""May"",""Jun"",""Jul"",""Aug"",""Sep"",""Oct"",""Nov"",""Dec""},0),15),
  IF(REGEXMATCH(TRIM(B295),""^\d{2}[/-]\d{2}[/-]\d"&amp;"{4}$""),
    DATE(VALUE(RIGHT(TRIM(B295),4)),VALUE(MID(TRIM(B295),4,2)),VALUE(LEFT(TRIM(B295),2))),
  DATEVALUE(TRIM(B295)))),
""CHECK"")"),45629.0)</f>
        <v>45629</v>
      </c>
      <c r="R295" s="2" t="str">
        <f t="shared" si="2"/>
        <v>Dec</v>
      </c>
      <c r="S295" s="2" t="str">
        <f t="shared" si="3"/>
        <v>Q4</v>
      </c>
      <c r="T295" s="2">
        <f t="shared" si="4"/>
        <v>11361.58</v>
      </c>
    </row>
    <row r="296">
      <c r="A296" s="10" t="s">
        <v>757</v>
      </c>
      <c r="B296" s="5" t="s">
        <v>758</v>
      </c>
      <c r="C296" s="5" t="s">
        <v>22</v>
      </c>
      <c r="D296" s="5" t="s">
        <v>23</v>
      </c>
      <c r="E296" s="5" t="s">
        <v>111</v>
      </c>
      <c r="F296" s="5" t="s">
        <v>521</v>
      </c>
      <c r="G296" s="5">
        <v>96557.14</v>
      </c>
      <c r="H296" s="5" t="s">
        <v>26</v>
      </c>
      <c r="I296" s="5" t="s">
        <v>43</v>
      </c>
      <c r="J296" s="5" t="s">
        <v>28</v>
      </c>
      <c r="K296" s="5" t="s">
        <v>29</v>
      </c>
      <c r="L296" s="5"/>
      <c r="N296" s="2" t="str">
        <f t="shared" si="1"/>
        <v>Sales</v>
      </c>
      <c r="O296" s="6">
        <f>IFERROR(__xludf.DUMMYFUNCTION("IFERROR(
  IF(LEN(TRIM(B296))=6,
    DATE(2000+VALUE(RIGHT(TRIM(B296),2)),MATCH(LEFT(TRIM(B296),3),{""Jan"",""Feb"",""Mar"",""Apr"",""May"",""Jun"",""Jul"",""Aug"",""Sep"",""Oct"",""Nov"",""Dec""},0),15),
  IF(REGEXMATCH(TRIM(B296),""^\d{2}[/-]\d{2}[/-]\d"&amp;"{4}$""),
    DATE(VALUE(RIGHT(TRIM(B296),4)),VALUE(MID(TRIM(B296),4,2)),VALUE(LEFT(TRIM(B296),2))),
  DATEVALUE(TRIM(B296)))),
""CHECK"")"),45310.0)</f>
        <v>45310</v>
      </c>
      <c r="R296" s="2" t="str">
        <f t="shared" si="2"/>
        <v>Jan</v>
      </c>
      <c r="S296" s="2" t="str">
        <f t="shared" si="3"/>
        <v>Q1</v>
      </c>
      <c r="T296" s="2">
        <f t="shared" si="4"/>
        <v>96557.14</v>
      </c>
    </row>
    <row r="297">
      <c r="A297" s="9" t="s">
        <v>759</v>
      </c>
      <c r="B297" s="7" t="s">
        <v>760</v>
      </c>
      <c r="C297" s="7" t="s">
        <v>34</v>
      </c>
      <c r="D297" s="7" t="s">
        <v>90</v>
      </c>
      <c r="E297" s="7" t="s">
        <v>114</v>
      </c>
      <c r="F297" s="7" t="s">
        <v>761</v>
      </c>
      <c r="G297" s="7">
        <v>16358.22</v>
      </c>
      <c r="H297" s="7" t="s">
        <v>26</v>
      </c>
      <c r="I297" s="7" t="s">
        <v>80</v>
      </c>
      <c r="J297" s="7" t="s">
        <v>113</v>
      </c>
      <c r="K297" s="7" t="s">
        <v>67</v>
      </c>
      <c r="L297" s="7"/>
      <c r="N297" s="2" t="str">
        <f t="shared" si="1"/>
        <v>G&amp;A</v>
      </c>
      <c r="O297" s="6">
        <f>IFERROR(__xludf.DUMMYFUNCTION("IFERROR(
  IF(LEN(TRIM(B297))=6,
    DATE(2000+VALUE(RIGHT(TRIM(B297),2)),MATCH(LEFT(TRIM(B297),3),{""Jan"",""Feb"",""Mar"",""Apr"",""May"",""Jun"",""Jul"",""Aug"",""Sep"",""Oct"",""Nov"",""Dec""},0),15),
  IF(REGEXMATCH(TRIM(B297),""^\d{2}[/-]\d{2}[/-]\d"&amp;"{4}$""),
    DATE(VALUE(RIGHT(TRIM(B297),4)),VALUE(MID(TRIM(B297),4,2)),VALUE(LEFT(TRIM(B297),2))),
  DATEVALUE(TRIM(B297)))),
""CHECK"")"),45463.0)</f>
        <v>45463</v>
      </c>
      <c r="R297" s="2" t="str">
        <f t="shared" si="2"/>
        <v>Jun</v>
      </c>
      <c r="S297" s="2" t="str">
        <f t="shared" si="3"/>
        <v>Q2</v>
      </c>
      <c r="T297" s="2">
        <f t="shared" si="4"/>
        <v>16358.22</v>
      </c>
    </row>
    <row r="298">
      <c r="A298" s="10" t="s">
        <v>762</v>
      </c>
      <c r="B298" s="5" t="s">
        <v>763</v>
      </c>
      <c r="C298" s="5" t="s">
        <v>34</v>
      </c>
      <c r="D298" s="5" t="s">
        <v>111</v>
      </c>
      <c r="E298" s="5" t="s">
        <v>24</v>
      </c>
      <c r="F298" s="5" t="s">
        <v>670</v>
      </c>
      <c r="G298" s="5">
        <v>20177.52</v>
      </c>
      <c r="H298" s="5" t="s">
        <v>26</v>
      </c>
      <c r="I298" s="5" t="s">
        <v>93</v>
      </c>
      <c r="J298" s="5" t="s">
        <v>73</v>
      </c>
      <c r="K298" s="5" t="s">
        <v>59</v>
      </c>
      <c r="L298" s="5"/>
      <c r="N298" s="2" t="str">
        <f t="shared" si="1"/>
        <v>Sales</v>
      </c>
      <c r="O298" s="6">
        <f>IFERROR(__xludf.DUMMYFUNCTION("IFERROR(
  IF(LEN(TRIM(B298))=6,
    DATE(2000+VALUE(RIGHT(TRIM(B298),2)),MATCH(LEFT(TRIM(B298),3),{""Jan"",""Feb"",""Mar"",""Apr"",""May"",""Jun"",""Jul"",""Aug"",""Sep"",""Oct"",""Nov"",""Dec""},0),15),
  IF(REGEXMATCH(TRIM(B298),""^\d{2}[/-]\d{2}[/-]\d"&amp;"{4}$""),
    DATE(VALUE(RIGHT(TRIM(B298),4)),VALUE(MID(TRIM(B298),4,2)),VALUE(LEFT(TRIM(B298),2))),
  DATEVALUE(TRIM(B298)))),
""CHECK"")"),45552.0)</f>
        <v>45552</v>
      </c>
      <c r="R298" s="2" t="str">
        <f t="shared" si="2"/>
        <v>Sep</v>
      </c>
      <c r="S298" s="2" t="str">
        <f t="shared" si="3"/>
        <v>Q3</v>
      </c>
      <c r="T298" s="2">
        <f t="shared" si="4"/>
        <v>20177.52</v>
      </c>
    </row>
    <row r="299">
      <c r="A299" s="9" t="s">
        <v>764</v>
      </c>
      <c r="B299" s="7" t="s">
        <v>765</v>
      </c>
      <c r="C299" s="7" t="s">
        <v>22</v>
      </c>
      <c r="D299" s="7" t="s">
        <v>62</v>
      </c>
      <c r="E299" s="7" t="s">
        <v>111</v>
      </c>
      <c r="F299" s="7" t="s">
        <v>370</v>
      </c>
      <c r="G299" s="7">
        <v>8087.23</v>
      </c>
      <c r="H299" s="7" t="s">
        <v>26</v>
      </c>
      <c r="I299" s="7" t="s">
        <v>27</v>
      </c>
      <c r="J299" s="7" t="s">
        <v>28</v>
      </c>
      <c r="K299" s="7" t="s">
        <v>29</v>
      </c>
      <c r="L299" s="7"/>
      <c r="N299" s="2" t="str">
        <f t="shared" si="1"/>
        <v>Sales</v>
      </c>
      <c r="O299" s="6">
        <f>IFERROR(__xludf.DUMMYFUNCTION("IFERROR(
  IF(LEN(TRIM(B299))=6,
    DATE(2000+VALUE(RIGHT(TRIM(B299),2)),MATCH(LEFT(TRIM(B299),3),{""Jan"",""Feb"",""Mar"",""Apr"",""May"",""Jun"",""Jul"",""Aug"",""Sep"",""Oct"",""Nov"",""Dec""},0),15),
  IF(REGEXMATCH(TRIM(B299),""^\d{2}[/-]\d{2}[/-]\d"&amp;"{4}$""),
    DATE(VALUE(RIGHT(TRIM(B299),4)),VALUE(MID(TRIM(B299),4,2)),VALUE(LEFT(TRIM(B299),2))),
  DATEVALUE(TRIM(B299)))),
""CHECK"")"),45318.0)</f>
        <v>45318</v>
      </c>
      <c r="R299" s="2" t="str">
        <f t="shared" si="2"/>
        <v>Jan</v>
      </c>
      <c r="S299" s="2" t="str">
        <f t="shared" si="3"/>
        <v>Q1</v>
      </c>
      <c r="T299" s="2">
        <f t="shared" si="4"/>
        <v>8087.23</v>
      </c>
    </row>
    <row r="300">
      <c r="A300" s="10" t="s">
        <v>766</v>
      </c>
      <c r="B300" s="5" t="s">
        <v>106</v>
      </c>
      <c r="C300" s="5" t="s">
        <v>34</v>
      </c>
      <c r="D300" s="5" t="s">
        <v>82</v>
      </c>
      <c r="E300" s="5" t="s">
        <v>99</v>
      </c>
      <c r="F300" s="5" t="s">
        <v>102</v>
      </c>
      <c r="G300" s="5">
        <v>13432.56</v>
      </c>
      <c r="H300" s="5" t="s">
        <v>26</v>
      </c>
      <c r="I300" s="5" t="s">
        <v>103</v>
      </c>
      <c r="J300" s="5" t="s">
        <v>108</v>
      </c>
      <c r="K300" s="5" t="s">
        <v>59</v>
      </c>
      <c r="L300" s="5"/>
      <c r="N300" s="2" t="str">
        <f t="shared" si="1"/>
        <v>Engineering</v>
      </c>
      <c r="O300" s="6">
        <f>IFERROR(__xludf.DUMMYFUNCTION("IFERROR(
  IF(LEN(TRIM(B300))=6,
    DATE(2000+VALUE(RIGHT(TRIM(B300),2)),MATCH(LEFT(TRIM(B300),3),{""Jan"",""Feb"",""Mar"",""Apr"",""May"",""Jun"",""Jul"",""Aug"",""Sep"",""Oct"",""Nov"",""Dec""},0),15),
  IF(REGEXMATCH(TRIM(B300),""^\d{2}[/-]\d{2}[/-]\d"&amp;"{4}$""),
    DATE(VALUE(RIGHT(TRIM(B300),4)),VALUE(MID(TRIM(B300),4,2)),VALUE(LEFT(TRIM(B300),2))),
  DATEVALUE(TRIM(B300)))),
""CHECK"")"),45519.0)</f>
        <v>45519</v>
      </c>
      <c r="R300" s="2" t="str">
        <f t="shared" si="2"/>
        <v>Aug</v>
      </c>
      <c r="S300" s="2" t="str">
        <f t="shared" si="3"/>
        <v>Q3</v>
      </c>
      <c r="T300" s="2">
        <f t="shared" si="4"/>
        <v>13432.56</v>
      </c>
    </row>
    <row r="301">
      <c r="A301" s="9" t="s">
        <v>767</v>
      </c>
      <c r="B301" s="7" t="s">
        <v>768</v>
      </c>
      <c r="C301" s="7" t="s">
        <v>34</v>
      </c>
      <c r="D301" s="7" t="s">
        <v>51</v>
      </c>
      <c r="E301" s="7" t="s">
        <v>50</v>
      </c>
      <c r="F301" s="7" t="s">
        <v>205</v>
      </c>
      <c r="G301" s="7">
        <v>10064.61</v>
      </c>
      <c r="H301" s="7" t="s">
        <v>26</v>
      </c>
      <c r="I301" s="7" t="s">
        <v>206</v>
      </c>
      <c r="J301" s="7" t="s">
        <v>108</v>
      </c>
      <c r="K301" s="7" t="s">
        <v>59</v>
      </c>
      <c r="L301" s="7"/>
      <c r="N301" s="2" t="str">
        <f t="shared" si="1"/>
        <v>Customer Success</v>
      </c>
      <c r="O301" s="6">
        <f>IFERROR(__xludf.DUMMYFUNCTION("IFERROR(
  IF(LEN(TRIM(B301))=6,
    DATE(2000+VALUE(RIGHT(TRIM(B301),2)),MATCH(LEFT(TRIM(B301),3),{""Jan"",""Feb"",""Mar"",""Apr"",""May"",""Jun"",""Jul"",""Aug"",""Sep"",""Oct"",""Nov"",""Dec""},0),15),
  IF(REGEXMATCH(TRIM(B301),""^\d{2}[/-]\d{2}[/-]\d"&amp;"{4}$""),
    DATE(VALUE(RIGHT(TRIM(B301),4)),VALUE(MID(TRIM(B301),4,2)),VALUE(LEFT(TRIM(B301),2))),
  DATEVALUE(TRIM(B301)))),
""CHECK"")"),45511.0)</f>
        <v>45511</v>
      </c>
      <c r="R301" s="2" t="str">
        <f t="shared" si="2"/>
        <v>Aug</v>
      </c>
      <c r="S301" s="2" t="str">
        <f t="shared" si="3"/>
        <v>Q3</v>
      </c>
      <c r="T301" s="2">
        <f t="shared" si="4"/>
        <v>10064.61</v>
      </c>
    </row>
    <row r="302">
      <c r="A302" s="10" t="s">
        <v>769</v>
      </c>
      <c r="B302" s="5" t="s">
        <v>770</v>
      </c>
      <c r="C302" s="5" t="s">
        <v>34</v>
      </c>
      <c r="D302" s="5" t="s">
        <v>82</v>
      </c>
      <c r="E302" s="5" t="s">
        <v>82</v>
      </c>
      <c r="F302" s="5" t="s">
        <v>475</v>
      </c>
      <c r="G302" s="5">
        <v>25347.21</v>
      </c>
      <c r="H302" s="5" t="s">
        <v>26</v>
      </c>
      <c r="I302" s="5" t="s">
        <v>57</v>
      </c>
      <c r="J302" s="5" t="s">
        <v>108</v>
      </c>
      <c r="K302" s="5" t="s">
        <v>59</v>
      </c>
      <c r="L302" s="5"/>
      <c r="N302" s="2" t="str">
        <f t="shared" si="1"/>
        <v>Engineering</v>
      </c>
      <c r="O302" s="6">
        <f>IFERROR(__xludf.DUMMYFUNCTION("IFERROR(
  IF(LEN(TRIM(B302))=6,
    DATE(2000+VALUE(RIGHT(TRIM(B302),2)),MATCH(LEFT(TRIM(B302),3),{""Jan"",""Feb"",""Mar"",""Apr"",""May"",""Jun"",""Jul"",""Aug"",""Sep"",""Oct"",""Nov"",""Dec""},0),15),
  IF(REGEXMATCH(TRIM(B302),""^\d{2}[/-]\d{2}[/-]\d"&amp;"{4}$""),
    DATE(VALUE(RIGHT(TRIM(B302),4)),VALUE(MID(TRIM(B302),4,2)),VALUE(LEFT(TRIM(B302),2))),
  DATEVALUE(TRIM(B302)))),
""CHECK"")"),45512.0)</f>
        <v>45512</v>
      </c>
      <c r="R302" s="2" t="str">
        <f t="shared" si="2"/>
        <v>Aug</v>
      </c>
      <c r="S302" s="2" t="str">
        <f t="shared" si="3"/>
        <v>Q3</v>
      </c>
      <c r="T302" s="2">
        <f t="shared" si="4"/>
        <v>25347.21</v>
      </c>
    </row>
    <row r="303">
      <c r="A303" s="9" t="s">
        <v>771</v>
      </c>
      <c r="B303" s="7" t="s">
        <v>772</v>
      </c>
      <c r="C303" s="7" t="s">
        <v>34</v>
      </c>
      <c r="D303" s="7" t="s">
        <v>111</v>
      </c>
      <c r="E303" s="7" t="s">
        <v>24</v>
      </c>
      <c r="F303" s="7" t="s">
        <v>78</v>
      </c>
      <c r="G303" s="7">
        <v>22902.05</v>
      </c>
      <c r="H303" s="7" t="s">
        <v>26</v>
      </c>
      <c r="I303" s="7" t="s">
        <v>80</v>
      </c>
      <c r="J303" s="7" t="s">
        <v>142</v>
      </c>
      <c r="K303" s="7" t="s">
        <v>39</v>
      </c>
      <c r="L303" s="7"/>
      <c r="N303" s="2" t="str">
        <f t="shared" si="1"/>
        <v>Sales</v>
      </c>
      <c r="O303" s="6">
        <f>IFERROR(__xludf.DUMMYFUNCTION("IFERROR(
  IF(LEN(TRIM(B303))=6,
    DATE(2000+VALUE(RIGHT(TRIM(B303),2)),MATCH(LEFT(TRIM(B303),3),{""Jan"",""Feb"",""Mar"",""Apr"",""May"",""Jun"",""Jul"",""Aug"",""Sep"",""Oct"",""Nov"",""Dec""},0),15),
  IF(REGEXMATCH(TRIM(B303),""^\d{2}[/-]\d{2}[/-]\d"&amp;"{4}$""),
    DATE(VALUE(RIGHT(TRIM(B303),4)),VALUE(MID(TRIM(B303),4,2)),VALUE(LEFT(TRIM(B303),2))),
  DATEVALUE(TRIM(B303)))),
""CHECK"")"),45610.0)</f>
        <v>45610</v>
      </c>
      <c r="R303" s="2" t="str">
        <f t="shared" si="2"/>
        <v>Nov</v>
      </c>
      <c r="S303" s="2" t="str">
        <f t="shared" si="3"/>
        <v>Q4</v>
      </c>
      <c r="T303" s="2">
        <f t="shared" si="4"/>
        <v>22902.05</v>
      </c>
    </row>
    <row r="304">
      <c r="A304" s="10" t="s">
        <v>773</v>
      </c>
      <c r="B304" s="5" t="s">
        <v>774</v>
      </c>
      <c r="C304" s="5" t="s">
        <v>34</v>
      </c>
      <c r="D304" s="5" t="s">
        <v>111</v>
      </c>
      <c r="E304" s="5" t="s">
        <v>24</v>
      </c>
      <c r="F304" s="5" t="s">
        <v>775</v>
      </c>
      <c r="G304" s="5">
        <v>29018.17</v>
      </c>
      <c r="H304" s="5" t="s">
        <v>26</v>
      </c>
      <c r="I304" s="5" t="s">
        <v>80</v>
      </c>
      <c r="J304" s="5" t="s">
        <v>28</v>
      </c>
      <c r="K304" s="5" t="s">
        <v>29</v>
      </c>
      <c r="L304" s="5"/>
      <c r="N304" s="2" t="str">
        <f t="shared" si="1"/>
        <v>Sales</v>
      </c>
      <c r="O304" s="6">
        <f>IFERROR(__xludf.DUMMYFUNCTION("IFERROR(
  IF(LEN(TRIM(B304))=6,
    DATE(2000+VALUE(RIGHT(TRIM(B304),2)),MATCH(LEFT(TRIM(B304),3),{""Jan"",""Feb"",""Mar"",""Apr"",""May"",""Jun"",""Jul"",""Aug"",""Sep"",""Oct"",""Nov"",""Dec""},0),15),
  IF(REGEXMATCH(TRIM(B304),""^\d{2}[/-]\d{2}[/-]\d"&amp;"{4}$""),
    DATE(VALUE(RIGHT(TRIM(B304),4)),VALUE(MID(TRIM(B304),4,2)),VALUE(LEFT(TRIM(B304),2))),
  DATEVALUE(TRIM(B304)))),
""CHECK"")"),45305.0)</f>
        <v>45305</v>
      </c>
      <c r="R304" s="2" t="str">
        <f t="shared" si="2"/>
        <v>Jan</v>
      </c>
      <c r="S304" s="2" t="str">
        <f t="shared" si="3"/>
        <v>Q1</v>
      </c>
      <c r="T304" s="2">
        <f t="shared" si="4"/>
        <v>29018.17</v>
      </c>
    </row>
    <row r="305">
      <c r="A305" s="9" t="s">
        <v>776</v>
      </c>
      <c r="B305" s="7" t="s">
        <v>457</v>
      </c>
      <c r="C305" s="7" t="s">
        <v>22</v>
      </c>
      <c r="D305" s="7" t="s">
        <v>23</v>
      </c>
      <c r="E305" s="7" t="s">
        <v>111</v>
      </c>
      <c r="F305" s="7" t="s">
        <v>42</v>
      </c>
      <c r="G305" s="7">
        <v>113088.64</v>
      </c>
      <c r="H305" s="7" t="s">
        <v>26</v>
      </c>
      <c r="I305" s="7" t="s">
        <v>65</v>
      </c>
      <c r="J305" s="7" t="s">
        <v>58</v>
      </c>
      <c r="K305" s="7" t="s">
        <v>59</v>
      </c>
      <c r="L305" s="7"/>
      <c r="N305" s="2" t="str">
        <f t="shared" si="1"/>
        <v>Sales</v>
      </c>
      <c r="O305" s="6">
        <f>IFERROR(__xludf.DUMMYFUNCTION("IFERROR(
  IF(LEN(TRIM(B305))=6,
    DATE(2000+VALUE(RIGHT(TRIM(B305),2)),MATCH(LEFT(TRIM(B305),3),{""Jan"",""Feb"",""Mar"",""Apr"",""May"",""Jun"",""Jul"",""Aug"",""Sep"",""Oct"",""Nov"",""Dec""},0),15),
  IF(REGEXMATCH(TRIM(B305),""^\d{2}[/-]\d{2}[/-]\d"&amp;"{4}$""),
    DATE(VALUE(RIGHT(TRIM(B305),4)),VALUE(MID(TRIM(B305),4,2)),VALUE(LEFT(TRIM(B305),2))),
  DATEVALUE(TRIM(B305)))),
""CHECK"")"),45501.0)</f>
        <v>45501</v>
      </c>
      <c r="R305" s="2" t="str">
        <f t="shared" si="2"/>
        <v>Jul</v>
      </c>
      <c r="S305" s="2" t="str">
        <f t="shared" si="3"/>
        <v>Q3</v>
      </c>
      <c r="T305" s="2">
        <f t="shared" si="4"/>
        <v>113088.64</v>
      </c>
    </row>
    <row r="306">
      <c r="A306" s="10" t="s">
        <v>777</v>
      </c>
      <c r="B306" s="5" t="s">
        <v>778</v>
      </c>
      <c r="C306" s="5" t="s">
        <v>22</v>
      </c>
      <c r="D306" s="5" t="s">
        <v>85</v>
      </c>
      <c r="E306" s="5" t="s">
        <v>63</v>
      </c>
      <c r="F306" s="5" t="s">
        <v>164</v>
      </c>
      <c r="G306" s="5">
        <v>11696.26</v>
      </c>
      <c r="H306" s="5" t="s">
        <v>26</v>
      </c>
      <c r="I306" s="5" t="s">
        <v>43</v>
      </c>
      <c r="J306" s="5" t="s">
        <v>142</v>
      </c>
      <c r="K306" s="5" t="s">
        <v>39</v>
      </c>
      <c r="L306" s="5"/>
      <c r="N306" s="2" t="str">
        <f t="shared" si="1"/>
        <v>Sales</v>
      </c>
      <c r="O306" s="6">
        <f>IFERROR(__xludf.DUMMYFUNCTION("IFERROR(
  IF(LEN(TRIM(B306))=6,
    DATE(2000+VALUE(RIGHT(TRIM(B306),2)),MATCH(LEFT(TRIM(B306),3),{""Jan"",""Feb"",""Mar"",""Apr"",""May"",""Jun"",""Jul"",""Aug"",""Sep"",""Oct"",""Nov"",""Dec""},0),15),
  IF(REGEXMATCH(TRIM(B306),""^\d{2}[/-]\d{2}[/-]\d"&amp;"{4}$""),
    DATE(VALUE(RIGHT(TRIM(B306),4)),VALUE(MID(TRIM(B306),4,2)),VALUE(LEFT(TRIM(B306),2))),
  DATEVALUE(TRIM(B306)))),
""CHECK"")"),45614.0)</f>
        <v>45614</v>
      </c>
      <c r="R306" s="2" t="str">
        <f t="shared" si="2"/>
        <v>Nov</v>
      </c>
      <c r="S306" s="2" t="str">
        <f t="shared" si="3"/>
        <v>Q4</v>
      </c>
      <c r="T306" s="2">
        <f t="shared" si="4"/>
        <v>11696.26</v>
      </c>
    </row>
    <row r="307">
      <c r="A307" s="9" t="s">
        <v>779</v>
      </c>
      <c r="B307" s="7" t="s">
        <v>780</v>
      </c>
      <c r="C307" s="7" t="s">
        <v>34</v>
      </c>
      <c r="D307" s="7" t="s">
        <v>31</v>
      </c>
      <c r="E307" s="7" t="s">
        <v>35</v>
      </c>
      <c r="F307" s="7" t="s">
        <v>380</v>
      </c>
      <c r="G307" s="7">
        <v>19116.83</v>
      </c>
      <c r="H307" s="7" t="s">
        <v>26</v>
      </c>
      <c r="I307" s="7" t="s">
        <v>57</v>
      </c>
      <c r="J307" s="7" t="s">
        <v>66</v>
      </c>
      <c r="K307" s="7" t="s">
        <v>67</v>
      </c>
      <c r="L307" s="7"/>
      <c r="N307" s="2" t="str">
        <f t="shared" si="1"/>
        <v>Cloud Infrastructure</v>
      </c>
      <c r="O307" s="6">
        <f>IFERROR(__xludf.DUMMYFUNCTION("IFERROR(
  IF(LEN(TRIM(B307))=6,
    DATE(2000+VALUE(RIGHT(TRIM(B307),2)),MATCH(LEFT(TRIM(B307),3),{""Jan"",""Feb"",""Mar"",""Apr"",""May"",""Jun"",""Jul"",""Aug"",""Sep"",""Oct"",""Nov"",""Dec""},0),15),
  IF(REGEXMATCH(TRIM(B307),""^\d{2}[/-]\d{2}[/-]\d"&amp;"{4}$""),
    DATE(VALUE(RIGHT(TRIM(B307),4)),VALUE(MID(TRIM(B307),4,2)),VALUE(LEFT(TRIM(B307),2))),
  DATEVALUE(TRIM(B307)))),
""CHECK"")"),45402.0)</f>
        <v>45402</v>
      </c>
      <c r="R307" s="2" t="str">
        <f t="shared" si="2"/>
        <v>Apr</v>
      </c>
      <c r="S307" s="2" t="str">
        <f t="shared" si="3"/>
        <v>Q2</v>
      </c>
      <c r="T307" s="2">
        <f t="shared" si="4"/>
        <v>19116.83</v>
      </c>
    </row>
    <row r="308">
      <c r="A308" s="10" t="s">
        <v>781</v>
      </c>
      <c r="B308" s="5" t="s">
        <v>782</v>
      </c>
      <c r="C308" s="5" t="s">
        <v>34</v>
      </c>
      <c r="D308" s="5" t="s">
        <v>54</v>
      </c>
      <c r="E308" s="5" t="s">
        <v>124</v>
      </c>
      <c r="F308" s="5" t="s">
        <v>167</v>
      </c>
      <c r="G308" s="5">
        <v>55844.34</v>
      </c>
      <c r="H308" s="5" t="s">
        <v>26</v>
      </c>
      <c r="I308" s="5" t="s">
        <v>168</v>
      </c>
      <c r="J308" s="5" t="s">
        <v>58</v>
      </c>
      <c r="K308" s="5" t="s">
        <v>59</v>
      </c>
      <c r="L308" s="5"/>
      <c r="N308" s="2" t="str">
        <f t="shared" si="1"/>
        <v>Marketing</v>
      </c>
      <c r="O308" s="6">
        <f>IFERROR(__xludf.DUMMYFUNCTION("IFERROR(
  IF(LEN(TRIM(B308))=6,
    DATE(2000+VALUE(RIGHT(TRIM(B308),2)),MATCH(LEFT(TRIM(B308),3),{""Jan"",""Feb"",""Mar"",""Apr"",""May"",""Jun"",""Jul"",""Aug"",""Sep"",""Oct"",""Nov"",""Dec""},0),15),
  IF(REGEXMATCH(TRIM(B308),""^\d{2}[/-]\d{2}[/-]\d"&amp;"{4}$""),
    DATE(VALUE(RIGHT(TRIM(B308),4)),VALUE(MID(TRIM(B308),4,2)),VALUE(LEFT(TRIM(B308),2))),
  DATEVALUE(TRIM(B308)))),
""CHECK"")"),45480.0)</f>
        <v>45480</v>
      </c>
      <c r="R308" s="2" t="str">
        <f t="shared" si="2"/>
        <v>Jul</v>
      </c>
      <c r="S308" s="2" t="str">
        <f t="shared" si="3"/>
        <v>Q3</v>
      </c>
      <c r="T308" s="2">
        <f t="shared" si="4"/>
        <v>55844.34</v>
      </c>
    </row>
    <row r="309">
      <c r="A309" s="9" t="s">
        <v>783</v>
      </c>
      <c r="B309" s="7" t="s">
        <v>271</v>
      </c>
      <c r="C309" s="7" t="s">
        <v>22</v>
      </c>
      <c r="D309" s="7" t="s">
        <v>23</v>
      </c>
      <c r="E309" s="7" t="s">
        <v>24</v>
      </c>
      <c r="F309" s="7" t="s">
        <v>429</v>
      </c>
      <c r="G309" s="7">
        <v>195603.28</v>
      </c>
      <c r="H309" s="7" t="s">
        <v>26</v>
      </c>
      <c r="I309" s="7" t="s">
        <v>137</v>
      </c>
      <c r="J309" s="7" t="s">
        <v>58</v>
      </c>
      <c r="K309" s="7" t="s">
        <v>59</v>
      </c>
      <c r="L309" s="7"/>
      <c r="N309" s="2" t="str">
        <f t="shared" si="1"/>
        <v>Sales</v>
      </c>
      <c r="O309" s="6">
        <f>IFERROR(__xludf.DUMMYFUNCTION("IFERROR(
  IF(LEN(TRIM(B309))=6,
    DATE(2000+VALUE(RIGHT(TRIM(B309),2)),MATCH(LEFT(TRIM(B309),3),{""Jan"",""Feb"",""Mar"",""Apr"",""May"",""Jun"",""Jul"",""Aug"",""Sep"",""Oct"",""Nov"",""Dec""},0),15),
  IF(REGEXMATCH(TRIM(B309),""^\d{2}[/-]\d{2}[/-]\d"&amp;"{4}$""),
    DATE(VALUE(RIGHT(TRIM(B309),4)),VALUE(MID(TRIM(B309),4,2)),VALUE(LEFT(TRIM(B309),2))),
  DATEVALUE(TRIM(B309)))),
""CHECK"")"),45603.0)</f>
        <v>45603</v>
      </c>
      <c r="R309" s="2" t="str">
        <f t="shared" si="2"/>
        <v>Nov</v>
      </c>
      <c r="S309" s="2" t="str">
        <f t="shared" si="3"/>
        <v>Q4</v>
      </c>
      <c r="T309" s="2">
        <f t="shared" si="4"/>
        <v>195603.28</v>
      </c>
    </row>
    <row r="310">
      <c r="A310" s="10" t="s">
        <v>784</v>
      </c>
      <c r="B310" s="5" t="s">
        <v>785</v>
      </c>
      <c r="C310" s="5" t="s">
        <v>34</v>
      </c>
      <c r="D310" s="5" t="s">
        <v>111</v>
      </c>
      <c r="E310" s="5" t="s">
        <v>111</v>
      </c>
      <c r="F310" s="5" t="s">
        <v>356</v>
      </c>
      <c r="G310" s="5">
        <v>59563.34</v>
      </c>
      <c r="H310" s="5" t="s">
        <v>26</v>
      </c>
      <c r="I310" s="5" t="s">
        <v>231</v>
      </c>
      <c r="J310" s="5" t="s">
        <v>44</v>
      </c>
      <c r="K310" s="5" t="s">
        <v>29</v>
      </c>
      <c r="L310" s="5"/>
      <c r="N310" s="2" t="str">
        <f t="shared" si="1"/>
        <v>Sales</v>
      </c>
      <c r="O310" s="6">
        <f>IFERROR(__xludf.DUMMYFUNCTION("IFERROR(
  IF(LEN(TRIM(B310))=6,
    DATE(2000+VALUE(RIGHT(TRIM(B310),2)),MATCH(LEFT(TRIM(B310),3),{""Jan"",""Feb"",""Mar"",""Apr"",""May"",""Jun"",""Jul"",""Aug"",""Sep"",""Oct"",""Nov"",""Dec""},0),15),
  IF(REGEXMATCH(TRIM(B310),""^\d{2}[/-]\d{2}[/-]\d"&amp;"{4}$""),
    DATE(VALUE(RIGHT(TRIM(B310),4)),VALUE(MID(TRIM(B310),4,2)),VALUE(LEFT(TRIM(B310),2))),
  DATEVALUE(TRIM(B310)))),
""CHECK"")"),45903.0)</f>
        <v>45903</v>
      </c>
      <c r="R310" s="2" t="str">
        <f t="shared" si="2"/>
        <v>Sep</v>
      </c>
      <c r="S310" s="2" t="str">
        <f t="shared" si="3"/>
        <v>Q3</v>
      </c>
      <c r="T310" s="2">
        <f t="shared" si="4"/>
        <v>59563.34</v>
      </c>
    </row>
    <row r="311">
      <c r="A311" s="9" t="s">
        <v>786</v>
      </c>
      <c r="B311" s="7" t="s">
        <v>244</v>
      </c>
      <c r="C311" s="7" t="s">
        <v>22</v>
      </c>
      <c r="D311" s="7" t="s">
        <v>62</v>
      </c>
      <c r="E311" s="7" t="s">
        <v>97</v>
      </c>
      <c r="F311" s="7" t="s">
        <v>212</v>
      </c>
      <c r="G311" s="7">
        <v>4909.94</v>
      </c>
      <c r="H311" s="7" t="s">
        <v>26</v>
      </c>
      <c r="I311" s="7" t="s">
        <v>137</v>
      </c>
      <c r="J311" s="7" t="s">
        <v>108</v>
      </c>
      <c r="K311" s="7" t="s">
        <v>59</v>
      </c>
      <c r="L311" s="7"/>
      <c r="N311" s="2" t="str">
        <f t="shared" si="1"/>
        <v>Sales</v>
      </c>
      <c r="O311" s="6">
        <f>IFERROR(__xludf.DUMMYFUNCTION("IFERROR(
  IF(LEN(TRIM(B311))=6,
    DATE(2000+VALUE(RIGHT(TRIM(B311),2)),MATCH(LEFT(TRIM(B311),3),{""Jan"",""Feb"",""Mar"",""Apr"",""May"",""Jun"",""Jul"",""Aug"",""Sep"",""Oct"",""Nov"",""Dec""},0),15),
  IF(REGEXMATCH(TRIM(B311),""^\d{2}[/-]\d{2}[/-]\d"&amp;"{4}$""),
    DATE(VALUE(RIGHT(TRIM(B311),4)),VALUE(MID(TRIM(B311),4,2)),VALUE(LEFT(TRIM(B311),2))),
  DATEVALUE(TRIM(B311)))),
""CHECK"")"),46211.0)</f>
        <v>46211</v>
      </c>
      <c r="R311" s="2" t="str">
        <f t="shared" si="2"/>
        <v>Jul</v>
      </c>
      <c r="S311" s="2" t="str">
        <f t="shared" si="3"/>
        <v>Q3</v>
      </c>
      <c r="T311" s="2">
        <f t="shared" si="4"/>
        <v>4909.94</v>
      </c>
    </row>
    <row r="312">
      <c r="A312" s="10" t="s">
        <v>787</v>
      </c>
      <c r="B312" s="5" t="s">
        <v>788</v>
      </c>
      <c r="C312" s="5" t="s">
        <v>34</v>
      </c>
      <c r="D312" s="5" t="s">
        <v>90</v>
      </c>
      <c r="E312" s="5" t="s">
        <v>104</v>
      </c>
      <c r="F312" s="5" t="s">
        <v>174</v>
      </c>
      <c r="G312" s="5">
        <v>18772.62</v>
      </c>
      <c r="H312" s="5" t="s">
        <v>26</v>
      </c>
      <c r="I312" s="5" t="s">
        <v>118</v>
      </c>
      <c r="J312" s="5" t="s">
        <v>126</v>
      </c>
      <c r="K312" s="5" t="s">
        <v>29</v>
      </c>
      <c r="L312" s="5"/>
      <c r="N312" s="2" t="str">
        <f t="shared" si="1"/>
        <v>G&amp;A</v>
      </c>
      <c r="O312" s="6">
        <f>IFERROR(__xludf.DUMMYFUNCTION("IFERROR(
  IF(LEN(TRIM(B312))=6,
    DATE(2000+VALUE(RIGHT(TRIM(B312),2)),MATCH(LEFT(TRIM(B312),3),{""Jan"",""Feb"",""Mar"",""Apr"",""May"",""Jun"",""Jul"",""Aug"",""Sep"",""Oct"",""Nov"",""Dec""},0),15),
  IF(REGEXMATCH(TRIM(B312),""^\d{2}[/-]\d{2}[/-]\d"&amp;"{4}$""),
    DATE(VALUE(RIGHT(TRIM(B312),4)),VALUE(MID(TRIM(B312),4,2)),VALUE(LEFT(TRIM(B312),2))),
  DATEVALUE(TRIM(B312)))),
""CHECK"")"),45345.0)</f>
        <v>45345</v>
      </c>
      <c r="R312" s="2" t="str">
        <f t="shared" si="2"/>
        <v>Feb</v>
      </c>
      <c r="S312" s="2" t="str">
        <f t="shared" si="3"/>
        <v>Q1</v>
      </c>
      <c r="T312" s="2">
        <f t="shared" si="4"/>
        <v>18772.62</v>
      </c>
    </row>
    <row r="313">
      <c r="A313" s="9" t="s">
        <v>789</v>
      </c>
      <c r="B313" s="7" t="s">
        <v>790</v>
      </c>
      <c r="C313" s="7" t="s">
        <v>34</v>
      </c>
      <c r="D313" s="7" t="s">
        <v>90</v>
      </c>
      <c r="E313" s="7" t="s">
        <v>90</v>
      </c>
      <c r="F313" s="7" t="s">
        <v>462</v>
      </c>
      <c r="G313" s="7">
        <v>13871.24</v>
      </c>
      <c r="H313" s="7" t="s">
        <v>26</v>
      </c>
      <c r="I313" s="7" t="s">
        <v>147</v>
      </c>
      <c r="J313" s="7" t="s">
        <v>58</v>
      </c>
      <c r="K313" s="7" t="s">
        <v>59</v>
      </c>
      <c r="L313" s="7"/>
      <c r="N313" s="2" t="str">
        <f t="shared" si="1"/>
        <v>G&amp;A</v>
      </c>
      <c r="O313" s="6">
        <f>IFERROR(__xludf.DUMMYFUNCTION("IFERROR(
  IF(LEN(TRIM(B313))=6,
    DATE(2000+VALUE(RIGHT(TRIM(B313),2)),MATCH(LEFT(TRIM(B313),3),{""Jan"",""Feb"",""Mar"",""Apr"",""May"",""Jun"",""Jul"",""Aug"",""Sep"",""Oct"",""Nov"",""Dec""},0),15),
  IF(REGEXMATCH(TRIM(B313),""^\d{2}[/-]\d{2}[/-]\d"&amp;"{4}$""),
    DATE(VALUE(RIGHT(TRIM(B313),4)),VALUE(MID(TRIM(B313),4,2)),VALUE(LEFT(TRIM(B313),2))),
  DATEVALUE(TRIM(B313)))),
""CHECK"")"),46210.0)</f>
        <v>46210</v>
      </c>
      <c r="R313" s="2" t="str">
        <f t="shared" si="2"/>
        <v>Jul</v>
      </c>
      <c r="S313" s="2" t="str">
        <f t="shared" si="3"/>
        <v>Q3</v>
      </c>
      <c r="T313" s="2">
        <f t="shared" si="4"/>
        <v>13871.24</v>
      </c>
    </row>
    <row r="314">
      <c r="A314" s="10" t="s">
        <v>791</v>
      </c>
      <c r="B314" s="5" t="s">
        <v>792</v>
      </c>
      <c r="C314" s="5" t="s">
        <v>34</v>
      </c>
      <c r="D314" s="5" t="s">
        <v>90</v>
      </c>
      <c r="E314" s="5" t="s">
        <v>104</v>
      </c>
      <c r="F314" s="5" t="s">
        <v>230</v>
      </c>
      <c r="G314" s="5">
        <v>22503.86</v>
      </c>
      <c r="H314" s="5" t="s">
        <v>26</v>
      </c>
      <c r="I314" s="5" t="s">
        <v>231</v>
      </c>
      <c r="J314" s="5" t="s">
        <v>58</v>
      </c>
      <c r="K314" s="5" t="s">
        <v>59</v>
      </c>
      <c r="L314" s="5"/>
      <c r="N314" s="2" t="str">
        <f t="shared" si="1"/>
        <v>G&amp;A</v>
      </c>
      <c r="O314" s="6">
        <f>IFERROR(__xludf.DUMMYFUNCTION("IFERROR(
  IF(LEN(TRIM(B314))=6,
    DATE(2000+VALUE(RIGHT(TRIM(B314),2)),MATCH(LEFT(TRIM(B314),3),{""Jan"",""Feb"",""Mar"",""Apr"",""May"",""Jun"",""Jul"",""Aug"",""Sep"",""Oct"",""Nov"",""Dec""},0),15),
  IF(REGEXMATCH(TRIM(B314),""^\d{2}[/-]\d{2}[/-]\d"&amp;"{4}$""),
    DATE(VALUE(RIGHT(TRIM(B314),4)),VALUE(MID(TRIM(B314),4,2)),VALUE(LEFT(TRIM(B314),2))),
  DATEVALUE(TRIM(B314)))),
""CHECK"")"),45498.0)</f>
        <v>45498</v>
      </c>
      <c r="R314" s="2" t="str">
        <f t="shared" si="2"/>
        <v>Jul</v>
      </c>
      <c r="S314" s="2" t="str">
        <f t="shared" si="3"/>
        <v>Q3</v>
      </c>
      <c r="T314" s="2">
        <f t="shared" si="4"/>
        <v>22503.86</v>
      </c>
    </row>
    <row r="315">
      <c r="A315" s="9" t="s">
        <v>793</v>
      </c>
      <c r="B315" s="7" t="s">
        <v>794</v>
      </c>
      <c r="C315" s="7" t="s">
        <v>34</v>
      </c>
      <c r="D315" s="7" t="s">
        <v>111</v>
      </c>
      <c r="E315" s="7" t="s">
        <v>97</v>
      </c>
      <c r="F315" s="7" t="s">
        <v>492</v>
      </c>
      <c r="G315" s="7">
        <v>28628.82</v>
      </c>
      <c r="H315" s="7" t="s">
        <v>26</v>
      </c>
      <c r="I315" s="7" t="s">
        <v>37</v>
      </c>
      <c r="J315" s="7" t="s">
        <v>87</v>
      </c>
      <c r="K315" s="7" t="s">
        <v>67</v>
      </c>
      <c r="L315" s="7"/>
      <c r="N315" s="2" t="str">
        <f t="shared" si="1"/>
        <v>Sales</v>
      </c>
      <c r="O315" s="6">
        <f>IFERROR(__xludf.DUMMYFUNCTION("IFERROR(
  IF(LEN(TRIM(B315))=6,
    DATE(2000+VALUE(RIGHT(TRIM(B315),2)),MATCH(LEFT(TRIM(B315),3),{""Jan"",""Feb"",""Mar"",""Apr"",""May"",""Jun"",""Jul"",""Aug"",""Sep"",""Oct"",""Nov"",""Dec""},0),15),
  IF(REGEXMATCH(TRIM(B315),""^\d{2}[/-]\d{2}[/-]\d"&amp;"{4}$""),
    DATE(VALUE(RIGHT(TRIM(B315),4)),VALUE(MID(TRIM(B315),4,2)),VALUE(LEFT(TRIM(B315),2))),
  DATEVALUE(TRIM(B315)))),
""CHECK"")"),45439.0)</f>
        <v>45439</v>
      </c>
      <c r="R315" s="2" t="str">
        <f t="shared" si="2"/>
        <v>May</v>
      </c>
      <c r="S315" s="2" t="str">
        <f t="shared" si="3"/>
        <v>Q2</v>
      </c>
      <c r="T315" s="2">
        <f t="shared" si="4"/>
        <v>28628.82</v>
      </c>
    </row>
    <row r="316">
      <c r="A316" s="10" t="s">
        <v>795</v>
      </c>
      <c r="B316" s="5" t="s">
        <v>128</v>
      </c>
      <c r="C316" s="5" t="s">
        <v>22</v>
      </c>
      <c r="D316" s="5" t="s">
        <v>62</v>
      </c>
      <c r="E316" s="5" t="s">
        <v>24</v>
      </c>
      <c r="F316" s="5" t="s">
        <v>309</v>
      </c>
      <c r="G316" s="5">
        <v>24475.88</v>
      </c>
      <c r="H316" s="5" t="s">
        <v>26</v>
      </c>
      <c r="I316" s="5" t="s">
        <v>72</v>
      </c>
      <c r="J316" s="5" t="s">
        <v>28</v>
      </c>
      <c r="K316" s="5" t="s">
        <v>29</v>
      </c>
      <c r="L316" s="5"/>
      <c r="N316" s="2" t="str">
        <f t="shared" si="1"/>
        <v>Sales</v>
      </c>
      <c r="O316" s="6">
        <f>IFERROR(__xludf.DUMMYFUNCTION("IFERROR(
  IF(LEN(TRIM(B316))=6,
    DATE(2000+VALUE(RIGHT(TRIM(B316),2)),MATCH(LEFT(TRIM(B316),3),{""Jan"",""Feb"",""Mar"",""Apr"",""May"",""Jun"",""Jul"",""Aug"",""Sep"",""Oct"",""Nov"",""Dec""},0),15),
  IF(REGEXMATCH(TRIM(B316),""^\d{2}[/-]\d{2}[/-]\d"&amp;"{4}$""),
    DATE(VALUE(RIGHT(TRIM(B316),4)),VALUE(MID(TRIM(B316),4,2)),VALUE(LEFT(TRIM(B316),2))),
  DATEVALUE(TRIM(B316)))),
""CHECK"")"),45306.0)</f>
        <v>45306</v>
      </c>
      <c r="R316" s="2" t="str">
        <f t="shared" si="2"/>
        <v>Jan</v>
      </c>
      <c r="S316" s="2" t="str">
        <f t="shared" si="3"/>
        <v>Q1</v>
      </c>
      <c r="T316" s="2">
        <f t="shared" si="4"/>
        <v>24475.88</v>
      </c>
    </row>
    <row r="317">
      <c r="A317" s="9" t="s">
        <v>796</v>
      </c>
      <c r="B317" s="7" t="s">
        <v>106</v>
      </c>
      <c r="C317" s="7" t="s">
        <v>22</v>
      </c>
      <c r="D317" s="7" t="s">
        <v>23</v>
      </c>
      <c r="E317" s="7" t="s">
        <v>97</v>
      </c>
      <c r="F317" s="7" t="s">
        <v>25</v>
      </c>
      <c r="G317" s="7">
        <v>194695.08</v>
      </c>
      <c r="H317" s="7" t="s">
        <v>26</v>
      </c>
      <c r="I317" s="7" t="s">
        <v>72</v>
      </c>
      <c r="J317" s="7" t="s">
        <v>108</v>
      </c>
      <c r="K317" s="7" t="s">
        <v>59</v>
      </c>
      <c r="L317" s="7"/>
      <c r="N317" s="2" t="str">
        <f t="shared" si="1"/>
        <v>Sales</v>
      </c>
      <c r="O317" s="6">
        <f>IFERROR(__xludf.DUMMYFUNCTION("IFERROR(
  IF(LEN(TRIM(B317))=6,
    DATE(2000+VALUE(RIGHT(TRIM(B317),2)),MATCH(LEFT(TRIM(B317),3),{""Jan"",""Feb"",""Mar"",""Apr"",""May"",""Jun"",""Jul"",""Aug"",""Sep"",""Oct"",""Nov"",""Dec""},0),15),
  IF(REGEXMATCH(TRIM(B317),""^\d{2}[/-]\d{2}[/-]\d"&amp;"{4}$""),
    DATE(VALUE(RIGHT(TRIM(B317),4)),VALUE(MID(TRIM(B317),4,2)),VALUE(LEFT(TRIM(B317),2))),
  DATEVALUE(TRIM(B317)))),
""CHECK"")"),45519.0)</f>
        <v>45519</v>
      </c>
      <c r="R317" s="2" t="str">
        <f t="shared" si="2"/>
        <v>Aug</v>
      </c>
      <c r="S317" s="2" t="str">
        <f t="shared" si="3"/>
        <v>Q3</v>
      </c>
      <c r="T317" s="2">
        <f t="shared" si="4"/>
        <v>194695.08</v>
      </c>
    </row>
    <row r="318">
      <c r="A318" s="10" t="s">
        <v>797</v>
      </c>
      <c r="B318" s="5" t="s">
        <v>798</v>
      </c>
      <c r="C318" s="5" t="s">
        <v>34</v>
      </c>
      <c r="D318" s="5" t="s">
        <v>51</v>
      </c>
      <c r="E318" s="5" t="s">
        <v>50</v>
      </c>
      <c r="F318" s="5" t="s">
        <v>516</v>
      </c>
      <c r="G318" s="5">
        <v>14065.33</v>
      </c>
      <c r="H318" s="5" t="s">
        <v>26</v>
      </c>
      <c r="I318" s="5" t="s">
        <v>103</v>
      </c>
      <c r="J318" s="5" t="s">
        <v>108</v>
      </c>
      <c r="K318" s="5" t="s">
        <v>59</v>
      </c>
      <c r="L318" s="5"/>
      <c r="N318" s="2" t="str">
        <f t="shared" si="1"/>
        <v>Customer Success</v>
      </c>
      <c r="O318" s="6">
        <f>IFERROR(__xludf.DUMMYFUNCTION("IFERROR(
  IF(LEN(TRIM(B318))=6,
    DATE(2000+VALUE(RIGHT(TRIM(B318),2)),MATCH(LEFT(TRIM(B318),3),{""Jan"",""Feb"",""Mar"",""Apr"",""May"",""Jun"",""Jul"",""Aug"",""Sep"",""Oct"",""Nov"",""Dec""},0),15),
  IF(REGEXMATCH(TRIM(B318),""^\d{2}[/-]\d{2}[/-]\d"&amp;"{4}$""),
    DATE(VALUE(RIGHT(TRIM(B318),4)),VALUE(MID(TRIM(B318),4,2)),VALUE(LEFT(TRIM(B318),2))),
  DATEVALUE(TRIM(B318)))),
""CHECK"")"),45527.0)</f>
        <v>45527</v>
      </c>
      <c r="R318" s="2" t="str">
        <f t="shared" si="2"/>
        <v>Aug</v>
      </c>
      <c r="S318" s="2" t="str">
        <f t="shared" si="3"/>
        <v>Q3</v>
      </c>
      <c r="T318" s="2">
        <f t="shared" si="4"/>
        <v>14065.33</v>
      </c>
    </row>
    <row r="319">
      <c r="A319" s="9" t="s">
        <v>799</v>
      </c>
      <c r="B319" s="7" t="s">
        <v>800</v>
      </c>
      <c r="C319" s="7" t="s">
        <v>34</v>
      </c>
      <c r="D319" s="7" t="s">
        <v>54</v>
      </c>
      <c r="E319" s="7" t="s">
        <v>54</v>
      </c>
      <c r="F319" s="7" t="s">
        <v>303</v>
      </c>
      <c r="G319" s="7">
        <v>20967.4</v>
      </c>
      <c r="H319" s="7" t="s">
        <v>26</v>
      </c>
      <c r="I319" s="7" t="s">
        <v>147</v>
      </c>
      <c r="J319" s="7" t="s">
        <v>38</v>
      </c>
      <c r="K319" s="7" t="s">
        <v>39</v>
      </c>
      <c r="L319" s="7"/>
      <c r="N319" s="2" t="str">
        <f t="shared" si="1"/>
        <v>Marketing</v>
      </c>
      <c r="O319" s="6">
        <f>IFERROR(__xludf.DUMMYFUNCTION("IFERROR(
  IF(LEN(TRIM(B319))=6,
    DATE(2000+VALUE(RIGHT(TRIM(B319),2)),MATCH(LEFT(TRIM(B319),3),{""Jan"",""Feb"",""Mar"",""Apr"",""May"",""Jun"",""Jul"",""Aug"",""Sep"",""Oct"",""Nov"",""Dec""},0),15),
  IF(REGEXMATCH(TRIM(B319),""^\d{2}[/-]\d{2}[/-]\d"&amp;"{4}$""),
    DATE(VALUE(RIGHT(TRIM(B319),4)),VALUE(MID(TRIM(B319),4,2)),VALUE(LEFT(TRIM(B319),2))),
  DATEVALUE(TRIM(B319)))),
""CHECK"")"),45639.0)</f>
        <v>45639</v>
      </c>
      <c r="R319" s="2" t="str">
        <f t="shared" si="2"/>
        <v>Dec</v>
      </c>
      <c r="S319" s="2" t="str">
        <f t="shared" si="3"/>
        <v>Q4</v>
      </c>
      <c r="T319" s="2">
        <f t="shared" si="4"/>
        <v>20967.4</v>
      </c>
    </row>
    <row r="320">
      <c r="A320" s="10" t="s">
        <v>801</v>
      </c>
      <c r="B320" s="5" t="s">
        <v>802</v>
      </c>
      <c r="C320" s="5" t="s">
        <v>22</v>
      </c>
      <c r="D320" s="5" t="s">
        <v>85</v>
      </c>
      <c r="E320" s="5" t="s">
        <v>111</v>
      </c>
      <c r="F320" s="5" t="s">
        <v>86</v>
      </c>
      <c r="G320" s="5">
        <v>27452.52</v>
      </c>
      <c r="H320" s="5" t="s">
        <v>26</v>
      </c>
      <c r="I320" s="5" t="s">
        <v>27</v>
      </c>
      <c r="J320" s="5" t="s">
        <v>108</v>
      </c>
      <c r="K320" s="5" t="s">
        <v>59</v>
      </c>
      <c r="L320" s="5"/>
      <c r="N320" s="2" t="str">
        <f t="shared" si="1"/>
        <v>Sales</v>
      </c>
      <c r="O320" s="6">
        <f>IFERROR(__xludf.DUMMYFUNCTION("IFERROR(
  IF(LEN(TRIM(B320))=6,
    DATE(2000+VALUE(RIGHT(TRIM(B320),2)),MATCH(LEFT(TRIM(B320),3),{""Jan"",""Feb"",""Mar"",""Apr"",""May"",""Jun"",""Jul"",""Aug"",""Sep"",""Oct"",""Nov"",""Dec""},0),15),
  IF(REGEXMATCH(TRIM(B320),""^\d{2}[/-]\d{2}[/-]\d"&amp;"{4}$""),
    DATE(VALUE(RIGHT(TRIM(B320),4)),VALUE(MID(TRIM(B320),4,2)),VALUE(LEFT(TRIM(B320),2))),
  DATEVALUE(TRIM(B320)))),
""CHECK"")"),45531.0)</f>
        <v>45531</v>
      </c>
      <c r="R320" s="2" t="str">
        <f t="shared" si="2"/>
        <v>Aug</v>
      </c>
      <c r="S320" s="2" t="str">
        <f t="shared" si="3"/>
        <v>Q3</v>
      </c>
      <c r="T320" s="2">
        <f t="shared" si="4"/>
        <v>27452.52</v>
      </c>
    </row>
    <row r="321">
      <c r="A321" s="9" t="s">
        <v>803</v>
      </c>
      <c r="B321" s="7" t="s">
        <v>804</v>
      </c>
      <c r="C321" s="7" t="s">
        <v>34</v>
      </c>
      <c r="D321" s="7" t="s">
        <v>51</v>
      </c>
      <c r="E321" s="7" t="s">
        <v>51</v>
      </c>
      <c r="F321" s="7" t="s">
        <v>697</v>
      </c>
      <c r="G321" s="7">
        <v>46395.5</v>
      </c>
      <c r="H321" s="7" t="s">
        <v>26</v>
      </c>
      <c r="I321" s="7" t="s">
        <v>394</v>
      </c>
      <c r="J321" s="7" t="s">
        <v>38</v>
      </c>
      <c r="K321" s="7" t="s">
        <v>39</v>
      </c>
      <c r="L321" s="7"/>
      <c r="N321" s="2" t="str">
        <f t="shared" si="1"/>
        <v>Customer Success</v>
      </c>
      <c r="O321" s="6">
        <f>IFERROR(__xludf.DUMMYFUNCTION("IFERROR(
  IF(LEN(TRIM(B321))=6,
    DATE(2000+VALUE(RIGHT(TRIM(B321),2)),MATCH(LEFT(TRIM(B321),3),{""Jan"",""Feb"",""Mar"",""Apr"",""May"",""Jun"",""Jul"",""Aug"",""Sep"",""Oct"",""Nov"",""Dec""},0),15),
  IF(REGEXMATCH(TRIM(B321),""^\d{2}[/-]\d{2}[/-]\d"&amp;"{4}$""),
    DATE(VALUE(RIGHT(TRIM(B321),4)),VALUE(MID(TRIM(B321),4,2)),VALUE(LEFT(TRIM(B321),2))),
  DATEVALUE(TRIM(B321)))),
""CHECK"")"),45656.0)</f>
        <v>45656</v>
      </c>
      <c r="R321" s="2" t="str">
        <f t="shared" si="2"/>
        <v>Dec</v>
      </c>
      <c r="S321" s="2" t="str">
        <f t="shared" si="3"/>
        <v>Q4</v>
      </c>
      <c r="T321" s="2">
        <f t="shared" si="4"/>
        <v>46395.5</v>
      </c>
    </row>
    <row r="322">
      <c r="A322" s="10" t="s">
        <v>805</v>
      </c>
      <c r="B322" s="5" t="s">
        <v>806</v>
      </c>
      <c r="C322" s="5" t="s">
        <v>22</v>
      </c>
      <c r="D322" s="5" t="s">
        <v>85</v>
      </c>
      <c r="E322" s="5" t="s">
        <v>24</v>
      </c>
      <c r="F322" s="5" t="s">
        <v>190</v>
      </c>
      <c r="G322" s="5">
        <v>23563.64</v>
      </c>
      <c r="H322" s="5" t="s">
        <v>26</v>
      </c>
      <c r="I322" s="5" t="s">
        <v>213</v>
      </c>
      <c r="J322" s="5" t="s">
        <v>44</v>
      </c>
      <c r="K322" s="5" t="s">
        <v>29</v>
      </c>
      <c r="L322" s="5"/>
      <c r="N322" s="2" t="str">
        <f t="shared" si="1"/>
        <v>Sales</v>
      </c>
      <c r="O322" s="6">
        <f>IFERROR(__xludf.DUMMYFUNCTION("IFERROR(
  IF(LEN(TRIM(B322))=6,
    DATE(2000+VALUE(RIGHT(TRIM(B322),2)),MATCH(LEFT(TRIM(B322),3),{""Jan"",""Feb"",""Mar"",""Apr"",""May"",""Jun"",""Jul"",""Aug"",""Sep"",""Oct"",""Nov"",""Dec""},0),15),
  IF(REGEXMATCH(TRIM(B322),""^\d{2}[/-]\d{2}[/-]\d"&amp;"{4}$""),
    DATE(VALUE(RIGHT(TRIM(B322),4)),VALUE(MID(TRIM(B322),4,2)),VALUE(LEFT(TRIM(B322),2))),
  DATEVALUE(TRIM(B322)))),
""CHECK"")"),45352.0)</f>
        <v>45352</v>
      </c>
      <c r="R322" s="2" t="str">
        <f t="shared" si="2"/>
        <v>Mar</v>
      </c>
      <c r="S322" s="2" t="str">
        <f t="shared" si="3"/>
        <v>Q1</v>
      </c>
      <c r="T322" s="2">
        <f t="shared" si="4"/>
        <v>23563.64</v>
      </c>
    </row>
    <row r="323">
      <c r="A323" s="9" t="s">
        <v>807</v>
      </c>
      <c r="B323" s="7" t="s">
        <v>808</v>
      </c>
      <c r="C323" s="7" t="s">
        <v>34</v>
      </c>
      <c r="D323" s="7" t="s">
        <v>31</v>
      </c>
      <c r="E323" s="7" t="s">
        <v>35</v>
      </c>
      <c r="F323" s="7" t="s">
        <v>809</v>
      </c>
      <c r="G323" s="7">
        <v>-16252.41</v>
      </c>
      <c r="H323" s="7" t="s">
        <v>26</v>
      </c>
      <c r="I323" s="7" t="s">
        <v>237</v>
      </c>
      <c r="J323" s="7" t="s">
        <v>73</v>
      </c>
      <c r="K323" s="7" t="s">
        <v>59</v>
      </c>
      <c r="L323" s="7"/>
      <c r="N323" s="2" t="str">
        <f t="shared" si="1"/>
        <v>Cloud Infrastructure</v>
      </c>
      <c r="O323" s="6">
        <f>IFERROR(__xludf.DUMMYFUNCTION("IFERROR(
  IF(LEN(TRIM(B323))=6,
    DATE(2000+VALUE(RIGHT(TRIM(B323),2)),MATCH(LEFT(TRIM(B323),3),{""Jan"",""Feb"",""Mar"",""Apr"",""May"",""Jun"",""Jul"",""Aug"",""Sep"",""Oct"",""Nov"",""Dec""},0),15),
  IF(REGEXMATCH(TRIM(B323),""^\d{2}[/-]\d{2}[/-]\d"&amp;"{4}$""),
    DATE(VALUE(RIGHT(TRIM(B323),4)),VALUE(MID(TRIM(B323),4,2)),VALUE(LEFT(TRIM(B323),2))),
  DATEVALUE(TRIM(B323)))),
""CHECK"")"),45547.0)</f>
        <v>45547</v>
      </c>
      <c r="R323" s="2" t="str">
        <f t="shared" si="2"/>
        <v>Sep</v>
      </c>
      <c r="S323" s="2" t="str">
        <f t="shared" si="3"/>
        <v>Q3</v>
      </c>
      <c r="T323" s="2">
        <f t="shared" si="4"/>
        <v>-16252.41</v>
      </c>
    </row>
    <row r="324">
      <c r="A324" s="10" t="s">
        <v>810</v>
      </c>
      <c r="B324" s="5" t="s">
        <v>811</v>
      </c>
      <c r="C324" s="5" t="s">
        <v>34</v>
      </c>
      <c r="D324" s="5" t="s">
        <v>31</v>
      </c>
      <c r="E324" s="5" t="s">
        <v>77</v>
      </c>
      <c r="F324" s="5" t="s">
        <v>36</v>
      </c>
      <c r="G324" s="5">
        <v>34171.79</v>
      </c>
      <c r="H324" s="5" t="s">
        <v>26</v>
      </c>
      <c r="I324" s="5" t="s">
        <v>37</v>
      </c>
      <c r="J324" s="5" t="s">
        <v>73</v>
      </c>
      <c r="K324" s="5" t="s">
        <v>59</v>
      </c>
      <c r="L324" s="5"/>
      <c r="N324" s="2" t="str">
        <f t="shared" si="1"/>
        <v>Cloud Infrastructure</v>
      </c>
      <c r="O324" s="6">
        <f>IFERROR(__xludf.DUMMYFUNCTION("IFERROR(
  IF(LEN(TRIM(B324))=6,
    DATE(2000+VALUE(RIGHT(TRIM(B324),2)),MATCH(LEFT(TRIM(B324),3),{""Jan"",""Feb"",""Mar"",""Apr"",""May"",""Jun"",""Jul"",""Aug"",""Sep"",""Oct"",""Nov"",""Dec""},0),15),
  IF(REGEXMATCH(TRIM(B324),""^\d{2}[/-]\d{2}[/-]\d"&amp;"{4}$""),
    DATE(VALUE(RIGHT(TRIM(B324),4)),VALUE(MID(TRIM(B324),4,2)),VALUE(LEFT(TRIM(B324),2))),
  DATEVALUE(TRIM(B324)))),
""CHECK"")"),45553.0)</f>
        <v>45553</v>
      </c>
      <c r="R324" s="2" t="str">
        <f t="shared" si="2"/>
        <v>Sep</v>
      </c>
      <c r="S324" s="2" t="str">
        <f t="shared" si="3"/>
        <v>Q3</v>
      </c>
      <c r="T324" s="2">
        <f t="shared" si="4"/>
        <v>34171.79</v>
      </c>
    </row>
    <row r="325">
      <c r="A325" s="9" t="s">
        <v>812</v>
      </c>
      <c r="B325" s="7" t="s">
        <v>813</v>
      </c>
      <c r="C325" s="7" t="s">
        <v>22</v>
      </c>
      <c r="D325" s="7" t="s">
        <v>23</v>
      </c>
      <c r="E325" s="7" t="s">
        <v>63</v>
      </c>
      <c r="F325" s="7" t="s">
        <v>187</v>
      </c>
      <c r="G325" s="7">
        <v>220412.2</v>
      </c>
      <c r="H325" s="7" t="s">
        <v>26</v>
      </c>
      <c r="I325" s="7" t="s">
        <v>65</v>
      </c>
      <c r="J325" s="7" t="s">
        <v>73</v>
      </c>
      <c r="K325" s="7" t="s">
        <v>59</v>
      </c>
      <c r="L325" s="7"/>
      <c r="N325" s="2" t="str">
        <f t="shared" si="1"/>
        <v>Sales</v>
      </c>
      <c r="O325" s="6">
        <f>IFERROR(__xludf.DUMMYFUNCTION("IFERROR(
  IF(LEN(TRIM(B325))=6,
    DATE(2000+VALUE(RIGHT(TRIM(B325),2)),MATCH(LEFT(TRIM(B325),3),{""Jan"",""Feb"",""Mar"",""Apr"",""May"",""Jun"",""Jul"",""Aug"",""Sep"",""Oct"",""Nov"",""Dec""},0),15),
  IF(REGEXMATCH(TRIM(B325),""^\d{2}[/-]\d{2}[/-]\d"&amp;"{4}$""),
    DATE(VALUE(RIGHT(TRIM(B325),4)),VALUE(MID(TRIM(B325),4,2)),VALUE(LEFT(TRIM(B325),2))),
  DATEVALUE(TRIM(B325)))),
""CHECK"")"),45542.0)</f>
        <v>45542</v>
      </c>
      <c r="R325" s="2" t="str">
        <f t="shared" si="2"/>
        <v>Sep</v>
      </c>
      <c r="S325" s="2" t="str">
        <f t="shared" si="3"/>
        <v>Q3</v>
      </c>
      <c r="T325" s="2">
        <f t="shared" si="4"/>
        <v>220412.2</v>
      </c>
    </row>
    <row r="326">
      <c r="A326" s="10" t="s">
        <v>814</v>
      </c>
      <c r="B326" s="5" t="s">
        <v>815</v>
      </c>
      <c r="C326" s="5" t="s">
        <v>34</v>
      </c>
      <c r="D326" s="5" t="s">
        <v>31</v>
      </c>
      <c r="E326" s="5" t="s">
        <v>77</v>
      </c>
      <c r="F326" s="5" t="s">
        <v>816</v>
      </c>
      <c r="G326" s="5">
        <v>19693.47</v>
      </c>
      <c r="H326" s="5" t="s">
        <v>26</v>
      </c>
      <c r="I326" s="5" t="s">
        <v>118</v>
      </c>
      <c r="J326" s="5" t="s">
        <v>58</v>
      </c>
      <c r="K326" s="5" t="s">
        <v>59</v>
      </c>
      <c r="L326" s="5"/>
      <c r="N326" s="2" t="str">
        <f t="shared" si="1"/>
        <v>Cloud Infrastructure</v>
      </c>
      <c r="O326" s="6">
        <f>IFERROR(__xludf.DUMMYFUNCTION("IFERROR(
  IF(LEN(TRIM(B326))=6,
    DATE(2000+VALUE(RIGHT(TRIM(B326),2)),MATCH(LEFT(TRIM(B326),3),{""Jan"",""Feb"",""Mar"",""Apr"",""May"",""Jun"",""Jul"",""Aug"",""Sep"",""Oct"",""Nov"",""Dec""},0),15),
  IF(REGEXMATCH(TRIM(B326),""^\d{2}[/-]\d{2}[/-]\d"&amp;"{4}$""),
    DATE(VALUE(RIGHT(TRIM(B326),4)),VALUE(MID(TRIM(B326),4,2)),VALUE(LEFT(TRIM(B326),2))),
  DATEVALUE(TRIM(B326)))),
""CHECK"")"),45491.0)</f>
        <v>45491</v>
      </c>
      <c r="R326" s="2" t="str">
        <f t="shared" si="2"/>
        <v>Jul</v>
      </c>
      <c r="S326" s="2" t="str">
        <f t="shared" si="3"/>
        <v>Q3</v>
      </c>
      <c r="T326" s="2">
        <f t="shared" si="4"/>
        <v>19693.47</v>
      </c>
    </row>
    <row r="327">
      <c r="A327" s="9" t="s">
        <v>817</v>
      </c>
      <c r="B327" s="7" t="s">
        <v>818</v>
      </c>
      <c r="C327" s="7" t="s">
        <v>34</v>
      </c>
      <c r="D327" s="7" t="s">
        <v>31</v>
      </c>
      <c r="E327" s="7" t="s">
        <v>145</v>
      </c>
      <c r="F327" s="7" t="s">
        <v>346</v>
      </c>
      <c r="G327" s="7">
        <v>14212.28</v>
      </c>
      <c r="H327" s="7" t="s">
        <v>26</v>
      </c>
      <c r="I327" s="7" t="s">
        <v>237</v>
      </c>
      <c r="J327" s="7" t="s">
        <v>108</v>
      </c>
      <c r="K327" s="7" t="s">
        <v>59</v>
      </c>
      <c r="L327" s="7"/>
      <c r="N327" s="2" t="str">
        <f t="shared" si="1"/>
        <v>Cloud Infrastructure</v>
      </c>
      <c r="O327" s="6">
        <f>IFERROR(__xludf.DUMMYFUNCTION("IFERROR(
  IF(LEN(TRIM(B327))=6,
    DATE(2000+VALUE(RIGHT(TRIM(B327),2)),MATCH(LEFT(TRIM(B327),3),{""Jan"",""Feb"",""Mar"",""Apr"",""May"",""Jun"",""Jul"",""Aug"",""Sep"",""Oct"",""Nov"",""Dec""},0),15),
  IF(REGEXMATCH(TRIM(B327),""^\d{2}[/-]\d{2}[/-]\d"&amp;"{4}$""),
    DATE(VALUE(RIGHT(TRIM(B327),4)),VALUE(MID(TRIM(B327),4,2)),VALUE(LEFT(TRIM(B327),2))),
  DATEVALUE(TRIM(B327)))),
""CHECK"")"),45505.0)</f>
        <v>45505</v>
      </c>
      <c r="R327" s="2" t="str">
        <f t="shared" si="2"/>
        <v>Aug</v>
      </c>
      <c r="S327" s="2" t="str">
        <f t="shared" si="3"/>
        <v>Q3</v>
      </c>
      <c r="T327" s="2">
        <f t="shared" si="4"/>
        <v>14212.28</v>
      </c>
    </row>
    <row r="328">
      <c r="A328" s="10" t="s">
        <v>819</v>
      </c>
      <c r="B328" s="5" t="s">
        <v>537</v>
      </c>
      <c r="C328" s="5" t="s">
        <v>34</v>
      </c>
      <c r="D328" s="5" t="s">
        <v>51</v>
      </c>
      <c r="E328" s="5" t="s">
        <v>74</v>
      </c>
      <c r="F328" s="5" t="s">
        <v>462</v>
      </c>
      <c r="G328" s="5">
        <v>25745.59</v>
      </c>
      <c r="H328" s="5" t="s">
        <v>26</v>
      </c>
      <c r="I328" s="5" t="s">
        <v>147</v>
      </c>
      <c r="J328" s="5" t="s">
        <v>28</v>
      </c>
      <c r="K328" s="5" t="s">
        <v>29</v>
      </c>
      <c r="L328" s="5"/>
      <c r="N328" s="2" t="str">
        <f t="shared" si="1"/>
        <v>Customer Success</v>
      </c>
      <c r="O328" s="6">
        <f>IFERROR(__xludf.DUMMYFUNCTION("IFERROR(
  IF(LEN(TRIM(B328))=6,
    DATE(2000+VALUE(RIGHT(TRIM(B328),2)),MATCH(LEFT(TRIM(B328),3),{""Jan"",""Feb"",""Mar"",""Apr"",""May"",""Jun"",""Jul"",""Aug"",""Sep"",""Oct"",""Nov"",""Dec""},0),15),
  IF(REGEXMATCH(TRIM(B328),""^\d{2}[/-]\d{2}[/-]\d"&amp;"{4}$""),
    DATE(VALUE(RIGHT(TRIM(B328),4)),VALUE(MID(TRIM(B328),4,2)),VALUE(LEFT(TRIM(B328),2))),
  DATEVALUE(TRIM(B328)))),
""CHECK"")"),45292.0)</f>
        <v>45292</v>
      </c>
      <c r="R328" s="2" t="str">
        <f t="shared" si="2"/>
        <v>Jan</v>
      </c>
      <c r="S328" s="2" t="str">
        <f t="shared" si="3"/>
        <v>Q1</v>
      </c>
      <c r="T328" s="2">
        <f t="shared" si="4"/>
        <v>25745.59</v>
      </c>
    </row>
    <row r="329">
      <c r="A329" s="9" t="s">
        <v>820</v>
      </c>
      <c r="B329" s="7" t="s">
        <v>821</v>
      </c>
      <c r="C329" s="7" t="s">
        <v>34</v>
      </c>
      <c r="D329" s="7" t="s">
        <v>111</v>
      </c>
      <c r="E329" s="7" t="s">
        <v>97</v>
      </c>
      <c r="F329" s="7" t="s">
        <v>747</v>
      </c>
      <c r="G329" s="7">
        <v>9910.91</v>
      </c>
      <c r="H329" s="7" t="s">
        <v>26</v>
      </c>
      <c r="I329" s="7" t="s">
        <v>168</v>
      </c>
      <c r="J329" s="7" t="s">
        <v>58</v>
      </c>
      <c r="K329" s="7" t="s">
        <v>59</v>
      </c>
      <c r="L329" s="7"/>
      <c r="N329" s="2" t="str">
        <f t="shared" si="1"/>
        <v>Sales</v>
      </c>
      <c r="O329" s="6">
        <f>IFERROR(__xludf.DUMMYFUNCTION("IFERROR(
  IF(LEN(TRIM(B329))=6,
    DATE(2000+VALUE(RIGHT(TRIM(B329),2)),MATCH(LEFT(TRIM(B329),3),{""Jan"",""Feb"",""Mar"",""Apr"",""May"",""Jun"",""Jul"",""Aug"",""Sep"",""Oct"",""Nov"",""Dec""},0),15),
  IF(REGEXMATCH(TRIM(B329),""^\d{2}[/-]\d{2}[/-]\d"&amp;"{4}$""),
    DATE(VALUE(RIGHT(TRIM(B329),4)),VALUE(MID(TRIM(B329),4,2)),VALUE(LEFT(TRIM(B329),2))),
  DATEVALUE(TRIM(B329)))),
""CHECK"")"),45497.0)</f>
        <v>45497</v>
      </c>
      <c r="R329" s="2" t="str">
        <f t="shared" si="2"/>
        <v>Jul</v>
      </c>
      <c r="S329" s="2" t="str">
        <f t="shared" si="3"/>
        <v>Q3</v>
      </c>
      <c r="T329" s="2">
        <f t="shared" si="4"/>
        <v>9910.91</v>
      </c>
    </row>
    <row r="330">
      <c r="A330" s="10" t="s">
        <v>822</v>
      </c>
      <c r="B330" s="5" t="s">
        <v>823</v>
      </c>
      <c r="C330" s="5" t="s">
        <v>34</v>
      </c>
      <c r="D330" s="5" t="s">
        <v>31</v>
      </c>
      <c r="E330" s="5" t="s">
        <v>145</v>
      </c>
      <c r="F330" s="5" t="s">
        <v>444</v>
      </c>
      <c r="G330" s="5">
        <v>24265.56</v>
      </c>
      <c r="H330" s="5" t="s">
        <v>26</v>
      </c>
      <c r="I330" s="5" t="s">
        <v>103</v>
      </c>
      <c r="J330" s="5" t="s">
        <v>38</v>
      </c>
      <c r="K330" s="5" t="s">
        <v>39</v>
      </c>
      <c r="L330" s="5"/>
      <c r="N330" s="2" t="str">
        <f t="shared" si="1"/>
        <v>Cloud Infrastructure</v>
      </c>
      <c r="O330" s="6">
        <f>IFERROR(__xludf.DUMMYFUNCTION("IFERROR(
  IF(LEN(TRIM(B330))=6,
    DATE(2000+VALUE(RIGHT(TRIM(B330),2)),MATCH(LEFT(TRIM(B330),3),{""Jan"",""Feb"",""Mar"",""Apr"",""May"",""Jun"",""Jul"",""Aug"",""Sep"",""Oct"",""Nov"",""Dec""},0),15),
  IF(REGEXMATCH(TRIM(B330),""^\d{2}[/-]\d{2}[/-]\d"&amp;"{4}$""),
    DATE(VALUE(RIGHT(TRIM(B330),4)),VALUE(MID(TRIM(B330),4,2)),VALUE(LEFT(TRIM(B330),2))),
  DATEVALUE(TRIM(B330)))),
""CHECK"")"),45850.0)</f>
        <v>45850</v>
      </c>
      <c r="R330" s="2" t="str">
        <f t="shared" si="2"/>
        <v>Jul</v>
      </c>
      <c r="S330" s="2" t="str">
        <f t="shared" si="3"/>
        <v>Q3</v>
      </c>
      <c r="T330" s="2">
        <f t="shared" si="4"/>
        <v>24265.56</v>
      </c>
    </row>
    <row r="331">
      <c r="A331" s="9" t="s">
        <v>824</v>
      </c>
      <c r="B331" s="7" t="s">
        <v>204</v>
      </c>
      <c r="C331" s="7" t="s">
        <v>22</v>
      </c>
      <c r="D331" s="7" t="s">
        <v>23</v>
      </c>
      <c r="E331" s="7" t="s">
        <v>111</v>
      </c>
      <c r="F331" s="7" t="s">
        <v>429</v>
      </c>
      <c r="G331" s="7">
        <v>116296.3</v>
      </c>
      <c r="H331" s="7" t="s">
        <v>26</v>
      </c>
      <c r="I331" s="7" t="s">
        <v>65</v>
      </c>
      <c r="J331" s="7" t="s">
        <v>66</v>
      </c>
      <c r="K331" s="7" t="s">
        <v>67</v>
      </c>
      <c r="L331" s="7"/>
      <c r="N331" s="2" t="str">
        <f t="shared" si="1"/>
        <v>Sales</v>
      </c>
      <c r="O331" s="6">
        <f>IFERROR(__xludf.DUMMYFUNCTION("IFERROR(
  IF(LEN(TRIM(B331))=6,
    DATE(2000+VALUE(RIGHT(TRIM(B331),2)),MATCH(LEFT(TRIM(B331),3),{""Jan"",""Feb"",""Mar"",""Apr"",""May"",""Jun"",""Jul"",""Aug"",""Sep"",""Oct"",""Nov"",""Dec""},0),15),
  IF(REGEXMATCH(TRIM(B331),""^\d{2}[/-]\d{2}[/-]\d"&amp;"{4}$""),
    DATE(VALUE(RIGHT(TRIM(B331),4)),VALUE(MID(TRIM(B331),4,2)),VALUE(LEFT(TRIM(B331),2))),
  DATEVALUE(TRIM(B331)))),
""CHECK"")"),45751.0)</f>
        <v>45751</v>
      </c>
      <c r="R331" s="2" t="str">
        <f t="shared" si="2"/>
        <v>Apr</v>
      </c>
      <c r="S331" s="2" t="str">
        <f t="shared" si="3"/>
        <v>Q2</v>
      </c>
      <c r="T331" s="2">
        <f t="shared" si="4"/>
        <v>116296.3</v>
      </c>
    </row>
    <row r="332">
      <c r="A332" s="10" t="s">
        <v>825</v>
      </c>
      <c r="B332" s="5" t="s">
        <v>826</v>
      </c>
      <c r="C332" s="5" t="s">
        <v>22</v>
      </c>
      <c r="D332" s="5" t="s">
        <v>85</v>
      </c>
      <c r="E332" s="5" t="s">
        <v>63</v>
      </c>
      <c r="F332" s="5" t="s">
        <v>216</v>
      </c>
      <c r="G332" s="5">
        <v>12023.83</v>
      </c>
      <c r="H332" s="5" t="s">
        <v>26</v>
      </c>
      <c r="I332" s="5" t="s">
        <v>65</v>
      </c>
      <c r="J332" s="5" t="s">
        <v>66</v>
      </c>
      <c r="K332" s="5" t="s">
        <v>67</v>
      </c>
      <c r="L332" s="5"/>
      <c r="N332" s="2" t="str">
        <f t="shared" si="1"/>
        <v>Sales</v>
      </c>
      <c r="O332" s="6">
        <f>IFERROR(__xludf.DUMMYFUNCTION("IFERROR(
  IF(LEN(TRIM(B332))=6,
    DATE(2000+VALUE(RIGHT(TRIM(B332),2)),MATCH(LEFT(TRIM(B332),3),{""Jan"",""Feb"",""Mar"",""Apr"",""May"",""Jun"",""Jul"",""Aug"",""Sep"",""Oct"",""Nov"",""Dec""},0),15),
  IF(REGEXMATCH(TRIM(B332),""^\d{2}[/-]\d{2}[/-]\d"&amp;"{4}$""),
    DATE(VALUE(RIGHT(TRIM(B332),4)),VALUE(MID(TRIM(B332),4,2)),VALUE(LEFT(TRIM(B332),2))),
  DATEVALUE(TRIM(B332)))),
""CHECK"")"),45406.0)</f>
        <v>45406</v>
      </c>
      <c r="R332" s="2" t="str">
        <f t="shared" si="2"/>
        <v>Apr</v>
      </c>
      <c r="S332" s="2" t="str">
        <f t="shared" si="3"/>
        <v>Q2</v>
      </c>
      <c r="T332" s="2">
        <f t="shared" si="4"/>
        <v>12023.83</v>
      </c>
    </row>
    <row r="333">
      <c r="A333" s="9" t="s">
        <v>827</v>
      </c>
      <c r="B333" s="7" t="s">
        <v>828</v>
      </c>
      <c r="C333" s="7" t="s">
        <v>22</v>
      </c>
      <c r="D333" s="7" t="s">
        <v>62</v>
      </c>
      <c r="E333" s="7" t="s">
        <v>97</v>
      </c>
      <c r="F333" s="7" t="s">
        <v>309</v>
      </c>
      <c r="G333" s="7">
        <v>6729.38</v>
      </c>
      <c r="H333" s="7" t="s">
        <v>26</v>
      </c>
      <c r="I333" s="7" t="s">
        <v>129</v>
      </c>
      <c r="J333" s="7" t="s">
        <v>126</v>
      </c>
      <c r="K333" s="7" t="s">
        <v>29</v>
      </c>
      <c r="L333" s="7"/>
      <c r="N333" s="2" t="str">
        <f t="shared" si="1"/>
        <v>Sales</v>
      </c>
      <c r="O333" s="6">
        <f>IFERROR(__xludf.DUMMYFUNCTION("IFERROR(
  IF(LEN(TRIM(B333))=6,
    DATE(2000+VALUE(RIGHT(TRIM(B333),2)),MATCH(LEFT(TRIM(B333),3),{""Jan"",""Feb"",""Mar"",""Apr"",""May"",""Jun"",""Jul"",""Aug"",""Sep"",""Oct"",""Nov"",""Dec""},0),15),
  IF(REGEXMATCH(TRIM(B333),""^\d{2}[/-]\d{2}[/-]\d"&amp;"{4}$""),
    DATE(VALUE(RIGHT(TRIM(B333),4)),VALUE(MID(TRIM(B333),4,2)),VALUE(LEFT(TRIM(B333),2))),
  DATEVALUE(TRIM(B333)))),
""CHECK"")"),45567.0)</f>
        <v>45567</v>
      </c>
      <c r="R333" s="2" t="str">
        <f t="shared" si="2"/>
        <v>Oct</v>
      </c>
      <c r="S333" s="2" t="str">
        <f t="shared" si="3"/>
        <v>Q4</v>
      </c>
      <c r="T333" s="2">
        <f t="shared" si="4"/>
        <v>6729.38</v>
      </c>
    </row>
    <row r="334">
      <c r="A334" s="10" t="s">
        <v>829</v>
      </c>
      <c r="B334" s="5" t="s">
        <v>830</v>
      </c>
      <c r="C334" s="5" t="s">
        <v>22</v>
      </c>
      <c r="D334" s="5" t="s">
        <v>23</v>
      </c>
      <c r="E334" s="5" t="s">
        <v>63</v>
      </c>
      <c r="F334" s="5" t="s">
        <v>521</v>
      </c>
      <c r="G334" s="5">
        <v>165591.88</v>
      </c>
      <c r="H334" s="5" t="s">
        <v>26</v>
      </c>
      <c r="I334" s="5" t="s">
        <v>134</v>
      </c>
      <c r="J334" s="5" t="s">
        <v>44</v>
      </c>
      <c r="K334" s="5" t="s">
        <v>29</v>
      </c>
      <c r="L334" s="5"/>
      <c r="N334" s="2" t="str">
        <f t="shared" si="1"/>
        <v>Sales</v>
      </c>
      <c r="O334" s="6">
        <f>IFERROR(__xludf.DUMMYFUNCTION("IFERROR(
  IF(LEN(TRIM(B334))=6,
    DATE(2000+VALUE(RIGHT(TRIM(B334),2)),MATCH(LEFT(TRIM(B334),3),{""Jan"",""Feb"",""Mar"",""Apr"",""May"",""Jun"",""Jul"",""Aug"",""Sep"",""Oct"",""Nov"",""Dec""},0),15),
  IF(REGEXMATCH(TRIM(B334),""^\d{2}[/-]\d{2}[/-]\d"&amp;"{4}$""),
    DATE(VALUE(RIGHT(TRIM(B334),4)),VALUE(MID(TRIM(B334),4,2)),VALUE(LEFT(TRIM(B334),2))),
  DATEVALUE(TRIM(B334)))),
""CHECK"")"),45357.0)</f>
        <v>45357</v>
      </c>
      <c r="R334" s="2" t="str">
        <f t="shared" si="2"/>
        <v>Mar</v>
      </c>
      <c r="S334" s="2" t="str">
        <f t="shared" si="3"/>
        <v>Q1</v>
      </c>
      <c r="T334" s="2">
        <f t="shared" si="4"/>
        <v>165591.88</v>
      </c>
    </row>
    <row r="335">
      <c r="A335" s="9" t="s">
        <v>831</v>
      </c>
      <c r="B335" s="7" t="s">
        <v>823</v>
      </c>
      <c r="C335" s="7" t="s">
        <v>34</v>
      </c>
      <c r="D335" s="7" t="s">
        <v>111</v>
      </c>
      <c r="E335" s="7" t="s">
        <v>111</v>
      </c>
      <c r="F335" s="7" t="s">
        <v>538</v>
      </c>
      <c r="G335" s="7">
        <v>27638.76</v>
      </c>
      <c r="H335" s="7" t="s">
        <v>26</v>
      </c>
      <c r="I335" s="7" t="s">
        <v>231</v>
      </c>
      <c r="J335" s="7" t="s">
        <v>38</v>
      </c>
      <c r="K335" s="7" t="s">
        <v>39</v>
      </c>
      <c r="L335" s="7"/>
      <c r="N335" s="2" t="str">
        <f t="shared" si="1"/>
        <v>Sales</v>
      </c>
      <c r="O335" s="6">
        <f>IFERROR(__xludf.DUMMYFUNCTION("IFERROR(
  IF(LEN(TRIM(B335))=6,
    DATE(2000+VALUE(RIGHT(TRIM(B335),2)),MATCH(LEFT(TRIM(B335),3),{""Jan"",""Feb"",""Mar"",""Apr"",""May"",""Jun"",""Jul"",""Aug"",""Sep"",""Oct"",""Nov"",""Dec""},0),15),
  IF(REGEXMATCH(TRIM(B335),""^\d{2}[/-]\d{2}[/-]\d"&amp;"{4}$""),
    DATE(VALUE(RIGHT(TRIM(B335),4)),VALUE(MID(TRIM(B335),4,2)),VALUE(LEFT(TRIM(B335),2))),
  DATEVALUE(TRIM(B335)))),
""CHECK"")"),45850.0)</f>
        <v>45850</v>
      </c>
      <c r="R335" s="2" t="str">
        <f t="shared" si="2"/>
        <v>Jul</v>
      </c>
      <c r="S335" s="2" t="str">
        <f t="shared" si="3"/>
        <v>Q3</v>
      </c>
      <c r="T335" s="2">
        <f t="shared" si="4"/>
        <v>27638.76</v>
      </c>
    </row>
    <row r="336">
      <c r="A336" s="10" t="s">
        <v>832</v>
      </c>
      <c r="B336" s="5" t="s">
        <v>833</v>
      </c>
      <c r="C336" s="5" t="s">
        <v>22</v>
      </c>
      <c r="D336" s="5" t="s">
        <v>62</v>
      </c>
      <c r="E336" s="5" t="s">
        <v>24</v>
      </c>
      <c r="F336" s="5" t="s">
        <v>212</v>
      </c>
      <c r="G336" s="5">
        <v>9605.66</v>
      </c>
      <c r="H336" s="5" t="s">
        <v>26</v>
      </c>
      <c r="I336" s="5" t="s">
        <v>43</v>
      </c>
      <c r="J336" s="5" t="s">
        <v>38</v>
      </c>
      <c r="K336" s="5" t="s">
        <v>39</v>
      </c>
      <c r="L336" s="5"/>
      <c r="N336" s="2" t="str">
        <f t="shared" si="1"/>
        <v>Sales</v>
      </c>
      <c r="O336" s="6">
        <f>IFERROR(__xludf.DUMMYFUNCTION("IFERROR(
  IF(LEN(TRIM(B336))=6,
    DATE(2000+VALUE(RIGHT(TRIM(B336),2)),MATCH(LEFT(TRIM(B336),3),{""Jan"",""Feb"",""Mar"",""Apr"",""May"",""Jun"",""Jul"",""Aug"",""Sep"",""Oct"",""Nov"",""Dec""},0),15),
  IF(REGEXMATCH(TRIM(B336),""^\d{2}[/-]\d{2}[/-]\d"&amp;"{4}$""),
    DATE(VALUE(RIGHT(TRIM(B336),4)),VALUE(MID(TRIM(B336),4,2)),VALUE(LEFT(TRIM(B336),2))),
  DATEVALUE(TRIM(B336)))),
""CHECK"")"),45650.0)</f>
        <v>45650</v>
      </c>
      <c r="R336" s="2" t="str">
        <f t="shared" si="2"/>
        <v>Dec</v>
      </c>
      <c r="S336" s="2" t="str">
        <f t="shared" si="3"/>
        <v>Q4</v>
      </c>
      <c r="T336" s="2">
        <f t="shared" si="4"/>
        <v>9605.66</v>
      </c>
    </row>
    <row r="337">
      <c r="A337" s="9" t="s">
        <v>834</v>
      </c>
      <c r="B337" s="7" t="s">
        <v>835</v>
      </c>
      <c r="C337" s="7" t="s">
        <v>22</v>
      </c>
      <c r="D337" s="7" t="s">
        <v>62</v>
      </c>
      <c r="E337" s="7" t="s">
        <v>97</v>
      </c>
      <c r="F337" s="7" t="s">
        <v>335</v>
      </c>
      <c r="G337" s="7">
        <v>26540.84</v>
      </c>
      <c r="H337" s="7" t="s">
        <v>26</v>
      </c>
      <c r="I337" s="7" t="s">
        <v>137</v>
      </c>
      <c r="J337" s="7" t="s">
        <v>73</v>
      </c>
      <c r="K337" s="7" t="s">
        <v>59</v>
      </c>
      <c r="L337" s="7"/>
      <c r="N337" s="2" t="str">
        <f t="shared" si="1"/>
        <v>Sales</v>
      </c>
      <c r="O337" s="6">
        <f>IFERROR(__xludf.DUMMYFUNCTION("IFERROR(
  IF(LEN(TRIM(B337))=6,
    DATE(2000+VALUE(RIGHT(TRIM(B337),2)),MATCH(LEFT(TRIM(B337),3),{""Jan"",""Feb"",""Mar"",""Apr"",""May"",""Jun"",""Jul"",""Aug"",""Sep"",""Oct"",""Nov"",""Dec""},0),15),
  IF(REGEXMATCH(TRIM(B337),""^\d{2}[/-]\d{2}[/-]\d"&amp;"{4}$""),
    DATE(VALUE(RIGHT(TRIM(B337),4)),VALUE(MID(TRIM(B337),4,2)),VALUE(LEFT(TRIM(B337),2))),
  DATEVALUE(TRIM(B337)))),
""CHECK"")"),45551.0)</f>
        <v>45551</v>
      </c>
      <c r="R337" s="2" t="str">
        <f t="shared" si="2"/>
        <v>Sep</v>
      </c>
      <c r="S337" s="2" t="str">
        <f t="shared" si="3"/>
        <v>Q3</v>
      </c>
      <c r="T337" s="2">
        <f t="shared" si="4"/>
        <v>26540.84</v>
      </c>
    </row>
    <row r="338">
      <c r="A338" s="10" t="s">
        <v>836</v>
      </c>
      <c r="B338" s="5" t="s">
        <v>318</v>
      </c>
      <c r="C338" s="5" t="s">
        <v>34</v>
      </c>
      <c r="D338" s="5" t="s">
        <v>111</v>
      </c>
      <c r="E338" s="5" t="s">
        <v>111</v>
      </c>
      <c r="F338" s="5" t="s">
        <v>346</v>
      </c>
      <c r="G338" s="5">
        <v>15635.53</v>
      </c>
      <c r="H338" s="5" t="s">
        <v>26</v>
      </c>
      <c r="I338" s="5" t="s">
        <v>237</v>
      </c>
      <c r="J338" s="5" t="s">
        <v>58</v>
      </c>
      <c r="K338" s="5" t="s">
        <v>59</v>
      </c>
      <c r="L338" s="5"/>
      <c r="N338" s="2" t="str">
        <f t="shared" si="1"/>
        <v>Sales</v>
      </c>
      <c r="O338" s="6">
        <f>IFERROR(__xludf.DUMMYFUNCTION("IFERROR(
  IF(LEN(TRIM(B338))=6,
    DATE(2000+VALUE(RIGHT(TRIM(B338),2)),MATCH(LEFT(TRIM(B338),3),{""Jan"",""Feb"",""Mar"",""Apr"",""May"",""Jun"",""Jul"",""Aug"",""Sep"",""Oct"",""Nov"",""Dec""},0),15),
  IF(REGEXMATCH(TRIM(B338),""^\d{2}[/-]\d{2}[/-]\d"&amp;"{4}$""),
    DATE(VALUE(RIGHT(TRIM(B338),4)),VALUE(MID(TRIM(B338),4,2)),VALUE(LEFT(TRIM(B338),2))),
  DATEVALUE(TRIM(B338)))),
""CHECK"")"),45476.0)</f>
        <v>45476</v>
      </c>
      <c r="R338" s="2" t="str">
        <f t="shared" si="2"/>
        <v>Jul</v>
      </c>
      <c r="S338" s="2" t="str">
        <f t="shared" si="3"/>
        <v>Q3</v>
      </c>
      <c r="T338" s="2">
        <f t="shared" si="4"/>
        <v>15635.53</v>
      </c>
    </row>
    <row r="339">
      <c r="A339" s="9" t="s">
        <v>837</v>
      </c>
      <c r="B339" s="7" t="s">
        <v>324</v>
      </c>
      <c r="C339" s="7" t="s">
        <v>34</v>
      </c>
      <c r="D339" s="7" t="s">
        <v>51</v>
      </c>
      <c r="E339" s="7" t="s">
        <v>50</v>
      </c>
      <c r="F339" s="7" t="s">
        <v>838</v>
      </c>
      <c r="G339" s="7">
        <v>8612.86</v>
      </c>
      <c r="H339" s="7" t="s">
        <v>26</v>
      </c>
      <c r="I339" s="7" t="s">
        <v>206</v>
      </c>
      <c r="J339" s="7" t="s">
        <v>113</v>
      </c>
      <c r="K339" s="7" t="s">
        <v>67</v>
      </c>
      <c r="L339" s="7"/>
      <c r="N339" s="2" t="str">
        <f t="shared" si="1"/>
        <v>Customer Success</v>
      </c>
      <c r="O339" s="6">
        <f>IFERROR(__xludf.DUMMYFUNCTION("IFERROR(
  IF(LEN(TRIM(B339))=6,
    DATE(2000+VALUE(RIGHT(TRIM(B339),2)),MATCH(LEFT(TRIM(B339),3),{""Jan"",""Feb"",""Mar"",""Apr"",""May"",""Jun"",""Jul"",""Aug"",""Sep"",""Oct"",""Nov"",""Dec""},0),15),
  IF(REGEXMATCH(TRIM(B339),""^\d{2}[/-]\d{2}[/-]\d"&amp;"{4}$""),
    DATE(VALUE(RIGHT(TRIM(B339),4)),VALUE(MID(TRIM(B339),4,2)),VALUE(LEFT(TRIM(B339),2))),
  DATEVALUE(TRIM(B339)))),
""CHECK"")"),45464.0)</f>
        <v>45464</v>
      </c>
      <c r="R339" s="2" t="str">
        <f t="shared" si="2"/>
        <v>Jun</v>
      </c>
      <c r="S339" s="2" t="str">
        <f t="shared" si="3"/>
        <v>Q2</v>
      </c>
      <c r="T339" s="2">
        <f t="shared" si="4"/>
        <v>8612.86</v>
      </c>
    </row>
    <row r="340">
      <c r="A340" s="10" t="s">
        <v>839</v>
      </c>
      <c r="B340" s="5" t="s">
        <v>840</v>
      </c>
      <c r="C340" s="5" t="s">
        <v>34</v>
      </c>
      <c r="D340" s="5" t="s">
        <v>51</v>
      </c>
      <c r="E340" s="5" t="s">
        <v>51</v>
      </c>
      <c r="F340" s="5" t="s">
        <v>554</v>
      </c>
      <c r="G340" s="5">
        <v>13484.88</v>
      </c>
      <c r="H340" s="5" t="s">
        <v>26</v>
      </c>
      <c r="I340" s="5" t="s">
        <v>231</v>
      </c>
      <c r="J340" s="5" t="s">
        <v>28</v>
      </c>
      <c r="K340" s="5" t="s">
        <v>29</v>
      </c>
      <c r="L340" s="5"/>
      <c r="N340" s="2" t="str">
        <f t="shared" si="1"/>
        <v>Customer Success</v>
      </c>
      <c r="O340" s="6">
        <f>IFERROR(__xludf.DUMMYFUNCTION("IFERROR(
  IF(LEN(TRIM(B340))=6,
    DATE(2000+VALUE(RIGHT(TRIM(B340),2)),MATCH(LEFT(TRIM(B340),3),{""Jan"",""Feb"",""Mar"",""Apr"",""May"",""Jun"",""Jul"",""Aug"",""Sep"",""Oct"",""Nov"",""Dec""},0),15),
  IF(REGEXMATCH(TRIM(B340),""^\d{2}[/-]\d{2}[/-]\d"&amp;"{4}$""),
    DATE(VALUE(RIGHT(TRIM(B340),4)),VALUE(MID(TRIM(B340),4,2)),VALUE(LEFT(TRIM(B340),2))),
  DATEVALUE(TRIM(B340)))),
""CHECK"")"),45292.0)</f>
        <v>45292</v>
      </c>
      <c r="R340" s="2" t="str">
        <f t="shared" si="2"/>
        <v>Jan</v>
      </c>
      <c r="S340" s="2" t="str">
        <f t="shared" si="3"/>
        <v>Q1</v>
      </c>
      <c r="T340" s="2">
        <f t="shared" si="4"/>
        <v>13484.88</v>
      </c>
    </row>
    <row r="341">
      <c r="A341" s="9" t="s">
        <v>841</v>
      </c>
      <c r="B341" s="7" t="s">
        <v>89</v>
      </c>
      <c r="C341" s="7" t="s">
        <v>34</v>
      </c>
      <c r="D341" s="7" t="s">
        <v>54</v>
      </c>
      <c r="E341" s="7" t="s">
        <v>54</v>
      </c>
      <c r="F341" s="7" t="s">
        <v>426</v>
      </c>
      <c r="G341" s="7">
        <v>41924.74</v>
      </c>
      <c r="H341" s="7" t="s">
        <v>26</v>
      </c>
      <c r="I341" s="7" t="s">
        <v>141</v>
      </c>
      <c r="J341" s="7" t="s">
        <v>73</v>
      </c>
      <c r="K341" s="7" t="s">
        <v>59</v>
      </c>
      <c r="L341" s="7"/>
      <c r="N341" s="2" t="str">
        <f t="shared" si="1"/>
        <v>Marketing</v>
      </c>
      <c r="O341" s="6">
        <f>IFERROR(__xludf.DUMMYFUNCTION("IFERROR(
  IF(LEN(TRIM(B341))=6,
    DATE(2000+VALUE(RIGHT(TRIM(B341),2)),MATCH(LEFT(TRIM(B341),3),{""Jan"",""Feb"",""Mar"",""Apr"",""May"",""Jun"",""Jul"",""Aug"",""Sep"",""Oct"",""Nov"",""Dec""},0),15),
  IF(REGEXMATCH(TRIM(B341),""^\d{2}[/-]\d{2}[/-]\d"&amp;"{4}$""),
    DATE(VALUE(RIGHT(TRIM(B341),4)),VALUE(MID(TRIM(B341),4,2)),VALUE(LEFT(TRIM(B341),2))),
  DATEVALUE(TRIM(B341)))),
""CHECK"")"),45550.0)</f>
        <v>45550</v>
      </c>
      <c r="R341" s="2" t="str">
        <f t="shared" si="2"/>
        <v>Sep</v>
      </c>
      <c r="S341" s="2" t="str">
        <f t="shared" si="3"/>
        <v>Q3</v>
      </c>
      <c r="T341" s="2">
        <f t="shared" si="4"/>
        <v>41924.74</v>
      </c>
    </row>
    <row r="342">
      <c r="A342" s="10" t="s">
        <v>842</v>
      </c>
      <c r="B342" s="5" t="s">
        <v>843</v>
      </c>
      <c r="C342" s="5" t="s">
        <v>22</v>
      </c>
      <c r="D342" s="5" t="s">
        <v>23</v>
      </c>
      <c r="E342" s="5" t="s">
        <v>63</v>
      </c>
      <c r="F342" s="5" t="s">
        <v>25</v>
      </c>
      <c r="G342" s="5">
        <v>113226.46</v>
      </c>
      <c r="H342" s="5" t="s">
        <v>26</v>
      </c>
      <c r="I342" s="5" t="s">
        <v>213</v>
      </c>
      <c r="J342" s="5" t="s">
        <v>49</v>
      </c>
      <c r="K342" s="5" t="s">
        <v>39</v>
      </c>
      <c r="L342" s="5"/>
      <c r="N342" s="2" t="str">
        <f t="shared" si="1"/>
        <v>Sales</v>
      </c>
      <c r="O342" s="6">
        <f>IFERROR(__xludf.DUMMYFUNCTION("IFERROR(
  IF(LEN(TRIM(B342))=6,
    DATE(2000+VALUE(RIGHT(TRIM(B342),2)),MATCH(LEFT(TRIM(B342),3),{""Jan"",""Feb"",""Mar"",""Apr"",""May"",""Jun"",""Jul"",""Aug"",""Sep"",""Oct"",""Nov"",""Dec""},0),15),
  IF(REGEXMATCH(TRIM(B342),""^\d{2}[/-]\d{2}[/-]\d"&amp;"{4}$""),
    DATE(VALUE(RIGHT(TRIM(B342),4)),VALUE(MID(TRIM(B342),4,2)),VALUE(LEFT(TRIM(B342),2))),
  DATEVALUE(TRIM(B342)))),
""CHECK"")"),45571.0)</f>
        <v>45571</v>
      </c>
      <c r="R342" s="2" t="str">
        <f t="shared" si="2"/>
        <v>Oct</v>
      </c>
      <c r="S342" s="2" t="str">
        <f t="shared" si="3"/>
        <v>Q4</v>
      </c>
      <c r="T342" s="2">
        <f t="shared" si="4"/>
        <v>113226.46</v>
      </c>
    </row>
    <row r="343">
      <c r="A343" s="9" t="s">
        <v>844</v>
      </c>
      <c r="B343" s="7" t="s">
        <v>845</v>
      </c>
      <c r="C343" s="7" t="s">
        <v>34</v>
      </c>
      <c r="D343" s="7" t="s">
        <v>90</v>
      </c>
      <c r="E343" s="7" t="s">
        <v>91</v>
      </c>
      <c r="F343" s="7" t="s">
        <v>530</v>
      </c>
      <c r="G343" s="7">
        <v>32005.55</v>
      </c>
      <c r="H343" s="7" t="s">
        <v>26</v>
      </c>
      <c r="I343" s="7" t="s">
        <v>103</v>
      </c>
      <c r="J343" s="7" t="s">
        <v>44</v>
      </c>
      <c r="K343" s="7" t="s">
        <v>29</v>
      </c>
      <c r="L343" s="7"/>
      <c r="N343" s="2" t="str">
        <f t="shared" si="1"/>
        <v>G&amp;A</v>
      </c>
      <c r="O343" s="6">
        <f>IFERROR(__xludf.DUMMYFUNCTION("IFERROR(
  IF(LEN(TRIM(B343))=6,
    DATE(2000+VALUE(RIGHT(TRIM(B343),2)),MATCH(LEFT(TRIM(B343),3),{""Jan"",""Feb"",""Mar"",""Apr"",""May"",""Jun"",""Jul"",""Aug"",""Sep"",""Oct"",""Nov"",""Dec""},0),15),
  IF(REGEXMATCH(TRIM(B343),""^\d{2}[/-]\d{2}[/-]\d"&amp;"{4}$""),
    DATE(VALUE(RIGHT(TRIM(B343),4)),VALUE(MID(TRIM(B343),4,2)),VALUE(LEFT(TRIM(B343),2))),
  DATEVALUE(TRIM(B343)))),
""CHECK"")"),45374.0)</f>
        <v>45374</v>
      </c>
      <c r="R343" s="2" t="str">
        <f t="shared" si="2"/>
        <v>Mar</v>
      </c>
      <c r="S343" s="2" t="str">
        <f t="shared" si="3"/>
        <v>Q1</v>
      </c>
      <c r="T343" s="2">
        <f t="shared" si="4"/>
        <v>32005.55</v>
      </c>
    </row>
    <row r="344">
      <c r="A344" s="10" t="s">
        <v>846</v>
      </c>
      <c r="B344" s="5" t="s">
        <v>847</v>
      </c>
      <c r="C344" s="5" t="s">
        <v>22</v>
      </c>
      <c r="D344" s="5" t="s">
        <v>85</v>
      </c>
      <c r="E344" s="5" t="s">
        <v>97</v>
      </c>
      <c r="F344" s="5" t="s">
        <v>164</v>
      </c>
      <c r="G344" s="5">
        <v>19486.69</v>
      </c>
      <c r="H344" s="5" t="s">
        <v>26</v>
      </c>
      <c r="I344" s="5" t="s">
        <v>27</v>
      </c>
      <c r="J344" s="5" t="s">
        <v>108</v>
      </c>
      <c r="K344" s="5" t="s">
        <v>59</v>
      </c>
      <c r="L344" s="5"/>
      <c r="N344" s="2" t="str">
        <f t="shared" si="1"/>
        <v>Sales</v>
      </c>
      <c r="O344" s="6">
        <f>IFERROR(__xludf.DUMMYFUNCTION("IFERROR(
  IF(LEN(TRIM(B344))=6,
    DATE(2000+VALUE(RIGHT(TRIM(B344),2)),MATCH(LEFT(TRIM(B344),3),{""Jan"",""Feb"",""Mar"",""Apr"",""May"",""Jun"",""Jul"",""Aug"",""Sep"",""Oct"",""Nov"",""Dec""},0),15),
  IF(REGEXMATCH(TRIM(B344),""^\d{2}[/-]\d{2}[/-]\d"&amp;"{4}$""),
    DATE(VALUE(RIGHT(TRIM(B344),4)),VALUE(MID(TRIM(B344),4,2)),VALUE(LEFT(TRIM(B344),2))),
  DATEVALUE(TRIM(B344)))),
""CHECK"")"),45518.0)</f>
        <v>45518</v>
      </c>
      <c r="R344" s="2" t="str">
        <f t="shared" si="2"/>
        <v>Aug</v>
      </c>
      <c r="S344" s="2" t="str">
        <f t="shared" si="3"/>
        <v>Q3</v>
      </c>
      <c r="T344" s="2">
        <f t="shared" si="4"/>
        <v>19486.69</v>
      </c>
    </row>
    <row r="345">
      <c r="A345" s="9" t="s">
        <v>848</v>
      </c>
      <c r="B345" s="7" t="s">
        <v>849</v>
      </c>
      <c r="C345" s="7" t="s">
        <v>22</v>
      </c>
      <c r="D345" s="7" t="s">
        <v>23</v>
      </c>
      <c r="E345" s="7" t="s">
        <v>97</v>
      </c>
      <c r="F345" s="7" t="s">
        <v>227</v>
      </c>
      <c r="G345" s="7">
        <v>531585.49</v>
      </c>
      <c r="H345" s="7" t="s">
        <v>26</v>
      </c>
      <c r="I345" s="7" t="s">
        <v>27</v>
      </c>
      <c r="J345" s="7" t="s">
        <v>87</v>
      </c>
      <c r="K345" s="7" t="s">
        <v>67</v>
      </c>
      <c r="L345" s="7"/>
      <c r="N345" s="2" t="str">
        <f t="shared" si="1"/>
        <v>Sales</v>
      </c>
      <c r="O345" s="6">
        <f>IFERROR(__xludf.DUMMYFUNCTION("IFERROR(
  IF(LEN(TRIM(B345))=6,
    DATE(2000+VALUE(RIGHT(TRIM(B345),2)),MATCH(LEFT(TRIM(B345),3),{""Jan"",""Feb"",""Mar"",""Apr"",""May"",""Jun"",""Jul"",""Aug"",""Sep"",""Oct"",""Nov"",""Dec""},0),15),
  IF(REGEXMATCH(TRIM(B345),""^\d{2}[/-]\d{2}[/-]\d"&amp;"{4}$""),
    DATE(VALUE(RIGHT(TRIM(B345),4)),VALUE(MID(TRIM(B345),4,2)),VALUE(LEFT(TRIM(B345),2))),
  DATEVALUE(TRIM(B345)))),
""CHECK"")"),45438.0)</f>
        <v>45438</v>
      </c>
      <c r="R345" s="2" t="str">
        <f t="shared" si="2"/>
        <v>May</v>
      </c>
      <c r="S345" s="2" t="str">
        <f t="shared" si="3"/>
        <v>Q2</v>
      </c>
      <c r="T345" s="2">
        <f t="shared" si="4"/>
        <v>531585.49</v>
      </c>
    </row>
    <row r="346">
      <c r="A346" s="10" t="s">
        <v>850</v>
      </c>
      <c r="B346" s="5" t="s">
        <v>851</v>
      </c>
      <c r="C346" s="5" t="s">
        <v>22</v>
      </c>
      <c r="D346" s="5" t="s">
        <v>62</v>
      </c>
      <c r="E346" s="5" t="s">
        <v>97</v>
      </c>
      <c r="F346" s="5" t="s">
        <v>264</v>
      </c>
      <c r="G346" s="5">
        <v>5970.79</v>
      </c>
      <c r="H346" s="5" t="s">
        <v>26</v>
      </c>
      <c r="I346" s="5" t="s">
        <v>134</v>
      </c>
      <c r="J346" s="5" t="s">
        <v>28</v>
      </c>
      <c r="K346" s="5" t="s">
        <v>29</v>
      </c>
      <c r="L346" s="5"/>
      <c r="N346" s="2" t="str">
        <f t="shared" si="1"/>
        <v>Sales</v>
      </c>
      <c r="O346" s="6">
        <f>IFERROR(__xludf.DUMMYFUNCTION("IFERROR(
  IF(LEN(TRIM(B346))=6,
    DATE(2000+VALUE(RIGHT(TRIM(B346),2)),MATCH(LEFT(TRIM(B346),3),{""Jan"",""Feb"",""Mar"",""Apr"",""May"",""Jun"",""Jul"",""Aug"",""Sep"",""Oct"",""Nov"",""Dec""},0),15),
  IF(REGEXMATCH(TRIM(B346),""^\d{2}[/-]\d{2}[/-]\d"&amp;"{4}$""),
    DATE(VALUE(RIGHT(TRIM(B346),4)),VALUE(MID(TRIM(B346),4,2)),VALUE(LEFT(TRIM(B346),2))),
  DATEVALUE(TRIM(B346)))),
""CHECK"")"),46143.0)</f>
        <v>46143</v>
      </c>
      <c r="R346" s="2" t="str">
        <f t="shared" si="2"/>
        <v>May</v>
      </c>
      <c r="S346" s="2" t="str">
        <f t="shared" si="3"/>
        <v>Q2</v>
      </c>
      <c r="T346" s="2">
        <f t="shared" si="4"/>
        <v>5970.79</v>
      </c>
    </row>
    <row r="347">
      <c r="A347" s="9" t="s">
        <v>852</v>
      </c>
      <c r="B347" s="7" t="s">
        <v>785</v>
      </c>
      <c r="C347" s="7" t="s">
        <v>22</v>
      </c>
      <c r="D347" s="7" t="s">
        <v>62</v>
      </c>
      <c r="E347" s="7" t="s">
        <v>24</v>
      </c>
      <c r="F347" s="7" t="s">
        <v>264</v>
      </c>
      <c r="G347" s="7">
        <v>7996.18</v>
      </c>
      <c r="H347" s="7" t="s">
        <v>26</v>
      </c>
      <c r="I347" s="7" t="s">
        <v>43</v>
      </c>
      <c r="J347" s="7" t="s">
        <v>44</v>
      </c>
      <c r="K347" s="7" t="s">
        <v>29</v>
      </c>
      <c r="L347" s="7"/>
      <c r="N347" s="2" t="str">
        <f t="shared" si="1"/>
        <v>Sales</v>
      </c>
      <c r="O347" s="6">
        <f>IFERROR(__xludf.DUMMYFUNCTION("IFERROR(
  IF(LEN(TRIM(B347))=6,
    DATE(2000+VALUE(RIGHT(TRIM(B347),2)),MATCH(LEFT(TRIM(B347),3),{""Jan"",""Feb"",""Mar"",""Apr"",""May"",""Jun"",""Jul"",""Aug"",""Sep"",""Oct"",""Nov"",""Dec""},0),15),
  IF(REGEXMATCH(TRIM(B347),""^\d{2}[/-]\d{2}[/-]\d"&amp;"{4}$""),
    DATE(VALUE(RIGHT(TRIM(B347),4)),VALUE(MID(TRIM(B347),4,2)),VALUE(LEFT(TRIM(B347),2))),
  DATEVALUE(TRIM(B347)))),
""CHECK"")"),45903.0)</f>
        <v>45903</v>
      </c>
      <c r="R347" s="2" t="str">
        <f t="shared" si="2"/>
        <v>Sep</v>
      </c>
      <c r="S347" s="2" t="str">
        <f t="shared" si="3"/>
        <v>Q3</v>
      </c>
      <c r="T347" s="2">
        <f t="shared" si="4"/>
        <v>7996.18</v>
      </c>
    </row>
    <row r="348">
      <c r="A348" s="10" t="s">
        <v>853</v>
      </c>
      <c r="B348" s="5" t="s">
        <v>854</v>
      </c>
      <c r="C348" s="5" t="s">
        <v>34</v>
      </c>
      <c r="D348" s="5" t="s">
        <v>111</v>
      </c>
      <c r="E348" s="5" t="s">
        <v>24</v>
      </c>
      <c r="F348" s="5" t="s">
        <v>492</v>
      </c>
      <c r="G348" s="5">
        <v>22496.08</v>
      </c>
      <c r="H348" s="5" t="s">
        <v>26</v>
      </c>
      <c r="I348" s="5" t="s">
        <v>37</v>
      </c>
      <c r="J348" s="5" t="s">
        <v>66</v>
      </c>
      <c r="K348" s="5" t="s">
        <v>67</v>
      </c>
      <c r="L348" s="5"/>
      <c r="N348" s="2" t="str">
        <f t="shared" si="1"/>
        <v>Sales</v>
      </c>
      <c r="O348" s="6">
        <f>IFERROR(__xludf.DUMMYFUNCTION("IFERROR(
  IF(LEN(TRIM(B348))=6,
    DATE(2000+VALUE(RIGHT(TRIM(B348),2)),MATCH(LEFT(TRIM(B348),3),{""Jan"",""Feb"",""Mar"",""Apr"",""May"",""Jun"",""Jul"",""Aug"",""Sep"",""Oct"",""Nov"",""Dec""},0),15),
  IF(REGEXMATCH(TRIM(B348),""^\d{2}[/-]\d{2}[/-]\d"&amp;"{4}$""),
    DATE(VALUE(RIGHT(TRIM(B348),4)),VALUE(MID(TRIM(B348),4,2)),VALUE(LEFT(TRIM(B348),2))),
  DATEVALUE(TRIM(B348)))),
""CHECK"")"),45396.0)</f>
        <v>45396</v>
      </c>
      <c r="R348" s="2" t="str">
        <f t="shared" si="2"/>
        <v>Apr</v>
      </c>
      <c r="S348" s="2" t="str">
        <f t="shared" si="3"/>
        <v>Q2</v>
      </c>
      <c r="T348" s="2">
        <f t="shared" si="4"/>
        <v>22496.08</v>
      </c>
    </row>
    <row r="349">
      <c r="A349" s="9" t="s">
        <v>855</v>
      </c>
      <c r="B349" s="7" t="s">
        <v>856</v>
      </c>
      <c r="C349" s="7" t="s">
        <v>34</v>
      </c>
      <c r="D349" s="7" t="s">
        <v>90</v>
      </c>
      <c r="E349" s="7" t="s">
        <v>90</v>
      </c>
      <c r="F349" s="7" t="s">
        <v>597</v>
      </c>
      <c r="G349" s="7">
        <v>-6686.72</v>
      </c>
      <c r="H349" s="7" t="s">
        <v>26</v>
      </c>
      <c r="I349" s="7" t="s">
        <v>168</v>
      </c>
      <c r="J349" s="7" t="s">
        <v>87</v>
      </c>
      <c r="K349" s="7" t="s">
        <v>67</v>
      </c>
      <c r="L349" s="7"/>
      <c r="N349" s="2" t="str">
        <f t="shared" si="1"/>
        <v>G&amp;A</v>
      </c>
      <c r="O349" s="6">
        <f>IFERROR(__xludf.DUMMYFUNCTION("IFERROR(
  IF(LEN(TRIM(B349))=6,
    DATE(2000+VALUE(RIGHT(TRIM(B349),2)),MATCH(LEFT(TRIM(B349),3),{""Jan"",""Feb"",""Mar"",""Apr"",""May"",""Jun"",""Jul"",""Aug"",""Sep"",""Oct"",""Nov"",""Dec""},0),15),
  IF(REGEXMATCH(TRIM(B349),""^\d{2}[/-]\d{2}[/-]\d"&amp;"{4}$""),
    DATE(VALUE(RIGHT(TRIM(B349),4)),VALUE(MID(TRIM(B349),4,2)),VALUE(LEFT(TRIM(B349),2))),
  DATEVALUE(TRIM(B349)))),
""CHECK"")"),45443.0)</f>
        <v>45443</v>
      </c>
      <c r="R349" s="2" t="str">
        <f t="shared" si="2"/>
        <v>May</v>
      </c>
      <c r="S349" s="2" t="str">
        <f t="shared" si="3"/>
        <v>Q2</v>
      </c>
      <c r="T349" s="2">
        <f t="shared" si="4"/>
        <v>-6686.72</v>
      </c>
    </row>
    <row r="350">
      <c r="A350" s="10" t="s">
        <v>857</v>
      </c>
      <c r="B350" s="5" t="s">
        <v>295</v>
      </c>
      <c r="C350" s="5" t="s">
        <v>22</v>
      </c>
      <c r="D350" s="5" t="s">
        <v>23</v>
      </c>
      <c r="E350" s="5" t="s">
        <v>24</v>
      </c>
      <c r="F350" s="5" t="s">
        <v>133</v>
      </c>
      <c r="G350" s="5">
        <v>83542.91</v>
      </c>
      <c r="H350" s="5" t="s">
        <v>26</v>
      </c>
      <c r="I350" s="5" t="s">
        <v>137</v>
      </c>
      <c r="J350" s="5" t="s">
        <v>87</v>
      </c>
      <c r="K350" s="5" t="s">
        <v>67</v>
      </c>
      <c r="L350" s="5"/>
      <c r="N350" s="2" t="str">
        <f t="shared" si="1"/>
        <v>Sales</v>
      </c>
      <c r="O350" s="6">
        <f>IFERROR(__xludf.DUMMYFUNCTION("IFERROR(
  IF(LEN(TRIM(B350))=6,
    DATE(2000+VALUE(RIGHT(TRIM(B350),2)),MATCH(LEFT(TRIM(B350),3),{""Jan"",""Feb"",""Mar"",""Apr"",""May"",""Jun"",""Jul"",""Aug"",""Sep"",""Oct"",""Nov"",""Dec""},0),15),
  IF(REGEXMATCH(TRIM(B350),""^\d{2}[/-]\d{2}[/-]\d"&amp;"{4}$""),
    DATE(VALUE(RIGHT(TRIM(B350),4)),VALUE(MID(TRIM(B350),4,2)),VALUE(LEFT(TRIM(B350),2))),
  DATEVALUE(TRIM(B350)))),
""CHECK"")"),45427.0)</f>
        <v>45427</v>
      </c>
      <c r="R350" s="2" t="str">
        <f t="shared" si="2"/>
        <v>May</v>
      </c>
      <c r="S350" s="2" t="str">
        <f t="shared" si="3"/>
        <v>Q2</v>
      </c>
      <c r="T350" s="2">
        <f t="shared" si="4"/>
        <v>83542.91</v>
      </c>
    </row>
    <row r="351">
      <c r="A351" s="9" t="s">
        <v>858</v>
      </c>
      <c r="B351" s="7" t="s">
        <v>859</v>
      </c>
      <c r="C351" s="7" t="s">
        <v>22</v>
      </c>
      <c r="D351" s="7" t="s">
        <v>23</v>
      </c>
      <c r="E351" s="7" t="s">
        <v>97</v>
      </c>
      <c r="F351" s="7" t="s">
        <v>133</v>
      </c>
      <c r="G351" s="7">
        <v>75751.62</v>
      </c>
      <c r="H351" s="7" t="s">
        <v>26</v>
      </c>
      <c r="I351" s="7" t="s">
        <v>134</v>
      </c>
      <c r="J351" s="7" t="s">
        <v>58</v>
      </c>
      <c r="K351" s="7" t="s">
        <v>59</v>
      </c>
      <c r="L351" s="7"/>
      <c r="N351" s="2" t="str">
        <f t="shared" si="1"/>
        <v>Sales</v>
      </c>
      <c r="O351" s="6">
        <f>IFERROR(__xludf.DUMMYFUNCTION("IFERROR(
  IF(LEN(TRIM(B351))=6,
    DATE(2000+VALUE(RIGHT(TRIM(B351),2)),MATCH(LEFT(TRIM(B351),3),{""Jan"",""Feb"",""Mar"",""Apr"",""May"",""Jun"",""Jul"",""Aug"",""Sep"",""Oct"",""Nov"",""Dec""},0),15),
  IF(REGEXMATCH(TRIM(B351),""^\d{2}[/-]\d{2}[/-]\d"&amp;"{4}$""),
    DATE(VALUE(RIGHT(TRIM(B351),4)),VALUE(MID(TRIM(B351),4,2)),VALUE(LEFT(TRIM(B351),2))),
  DATEVALUE(TRIM(B351)))),
""CHECK"")"),45504.0)</f>
        <v>45504</v>
      </c>
      <c r="R351" s="2" t="str">
        <f t="shared" si="2"/>
        <v>Jul</v>
      </c>
      <c r="S351" s="2" t="str">
        <f t="shared" si="3"/>
        <v>Q3</v>
      </c>
      <c r="T351" s="2">
        <f t="shared" si="4"/>
        <v>75751.62</v>
      </c>
    </row>
    <row r="352">
      <c r="A352" s="10" t="s">
        <v>860</v>
      </c>
      <c r="B352" s="5" t="s">
        <v>861</v>
      </c>
      <c r="C352" s="5" t="s">
        <v>34</v>
      </c>
      <c r="D352" s="5" t="s">
        <v>90</v>
      </c>
      <c r="E352" s="5" t="s">
        <v>114</v>
      </c>
      <c r="F352" s="5" t="s">
        <v>171</v>
      </c>
      <c r="G352" s="5">
        <v>18194.73</v>
      </c>
      <c r="H352" s="5" t="s">
        <v>26</v>
      </c>
      <c r="I352" s="5" t="s">
        <v>103</v>
      </c>
      <c r="J352" s="5" t="s">
        <v>58</v>
      </c>
      <c r="K352" s="5" t="s">
        <v>59</v>
      </c>
      <c r="L352" s="5"/>
      <c r="N352" s="2" t="str">
        <f t="shared" si="1"/>
        <v>G&amp;A</v>
      </c>
      <c r="O352" s="6">
        <f>IFERROR(__xludf.DUMMYFUNCTION("IFERROR(
  IF(LEN(TRIM(B352))=6,
    DATE(2000+VALUE(RIGHT(TRIM(B352),2)),MATCH(LEFT(TRIM(B352),3),{""Jan"",""Feb"",""Mar"",""Apr"",""May"",""Jun"",""Jul"",""Aug"",""Sep"",""Oct"",""Nov"",""Dec""},0),15),
  IF(REGEXMATCH(TRIM(B352),""^\d{2}[/-]\d{2}[/-]\d"&amp;"{4}$""),
    DATE(VALUE(RIGHT(TRIM(B352),4)),VALUE(MID(TRIM(B352),4,2)),VALUE(LEFT(TRIM(B352),2))),
  DATEVALUE(TRIM(B352)))),
""CHECK"")"),45495.0)</f>
        <v>45495</v>
      </c>
      <c r="R352" s="2" t="str">
        <f t="shared" si="2"/>
        <v>Jul</v>
      </c>
      <c r="S352" s="2" t="str">
        <f t="shared" si="3"/>
        <v>Q3</v>
      </c>
      <c r="T352" s="2">
        <f t="shared" si="4"/>
        <v>18194.73</v>
      </c>
    </row>
    <row r="353">
      <c r="A353" s="9" t="s">
        <v>862</v>
      </c>
      <c r="B353" s="7" t="s">
        <v>863</v>
      </c>
      <c r="C353" s="7" t="s">
        <v>22</v>
      </c>
      <c r="D353" s="7" t="s">
        <v>62</v>
      </c>
      <c r="E353" s="7" t="s">
        <v>97</v>
      </c>
      <c r="F353" s="7" t="s">
        <v>64</v>
      </c>
      <c r="G353" s="7">
        <v>8905.44</v>
      </c>
      <c r="H353" s="7" t="s">
        <v>26</v>
      </c>
      <c r="I353" s="7" t="s">
        <v>213</v>
      </c>
      <c r="J353" s="7" t="s">
        <v>87</v>
      </c>
      <c r="K353" s="7" t="s">
        <v>67</v>
      </c>
      <c r="L353" s="7"/>
      <c r="N353" s="2" t="str">
        <f t="shared" si="1"/>
        <v>Sales</v>
      </c>
      <c r="O353" s="6">
        <f>IFERROR(__xludf.DUMMYFUNCTION("IFERROR(
  IF(LEN(TRIM(B353))=6,
    DATE(2000+VALUE(RIGHT(TRIM(B353),2)),MATCH(LEFT(TRIM(B353),3),{""Jan"",""Feb"",""Mar"",""Apr"",""May"",""Jun"",""Jul"",""Aug"",""Sep"",""Oct"",""Nov"",""Dec""},0),15),
  IF(REGEXMATCH(TRIM(B353),""^\d{2}[/-]\d{2}[/-]\d"&amp;"{4}$""),
    DATE(VALUE(RIGHT(TRIM(B353),4)),VALUE(MID(TRIM(B353),4,2)),VALUE(LEFT(TRIM(B353),2))),
  DATEVALUE(TRIM(B353)))),
""CHECK"")"),46147.0)</f>
        <v>46147</v>
      </c>
      <c r="R353" s="2" t="str">
        <f t="shared" si="2"/>
        <v>May</v>
      </c>
      <c r="S353" s="2" t="str">
        <f t="shared" si="3"/>
        <v>Q2</v>
      </c>
      <c r="T353" s="2">
        <f t="shared" si="4"/>
        <v>8905.44</v>
      </c>
    </row>
    <row r="354">
      <c r="A354" s="10" t="s">
        <v>864</v>
      </c>
      <c r="B354" s="5" t="s">
        <v>865</v>
      </c>
      <c r="C354" s="5" t="s">
        <v>34</v>
      </c>
      <c r="D354" s="5" t="s">
        <v>31</v>
      </c>
      <c r="E354" s="5" t="s">
        <v>77</v>
      </c>
      <c r="F354" s="5" t="s">
        <v>230</v>
      </c>
      <c r="G354" s="5">
        <v>17949.12</v>
      </c>
      <c r="H354" s="5" t="s">
        <v>26</v>
      </c>
      <c r="I354" s="5" t="s">
        <v>231</v>
      </c>
      <c r="J354" s="5" t="s">
        <v>113</v>
      </c>
      <c r="K354" s="5" t="s">
        <v>67</v>
      </c>
      <c r="L354" s="5"/>
      <c r="N354" s="2" t="str">
        <f t="shared" si="1"/>
        <v>Cloud Infrastructure</v>
      </c>
      <c r="O354" s="6">
        <f>IFERROR(__xludf.DUMMYFUNCTION("IFERROR(
  IF(LEN(TRIM(B354))=6,
    DATE(2000+VALUE(RIGHT(TRIM(B354),2)),MATCH(LEFT(TRIM(B354),3),{""Jan"",""Feb"",""Mar"",""Apr"",""May"",""Jun"",""Jul"",""Aug"",""Sep"",""Oct"",""Nov"",""Dec""},0),15),
  IF(REGEXMATCH(TRIM(B354),""^\d{2}[/-]\d{2}[/-]\d"&amp;"{4}$""),
    DATE(VALUE(RIGHT(TRIM(B354),4)),VALUE(MID(TRIM(B354),4,2)),VALUE(LEFT(TRIM(B354),2))),
  DATEVALUE(TRIM(B354)))),
""CHECK"")"),45466.0)</f>
        <v>45466</v>
      </c>
      <c r="R354" s="2" t="str">
        <f t="shared" si="2"/>
        <v>Jun</v>
      </c>
      <c r="S354" s="2" t="str">
        <f t="shared" si="3"/>
        <v>Q2</v>
      </c>
      <c r="T354" s="2">
        <f t="shared" si="4"/>
        <v>17949.12</v>
      </c>
    </row>
    <row r="355">
      <c r="A355" s="9" t="s">
        <v>866</v>
      </c>
      <c r="B355" s="7" t="s">
        <v>867</v>
      </c>
      <c r="C355" s="7" t="s">
        <v>34</v>
      </c>
      <c r="D355" s="7" t="s">
        <v>54</v>
      </c>
      <c r="E355" s="7" t="s">
        <v>124</v>
      </c>
      <c r="F355" s="7" t="s">
        <v>56</v>
      </c>
      <c r="G355" s="7">
        <v>37316.33</v>
      </c>
      <c r="H355" s="7" t="s">
        <v>26</v>
      </c>
      <c r="I355" s="7" t="s">
        <v>57</v>
      </c>
      <c r="J355" s="7" t="s">
        <v>38</v>
      </c>
      <c r="K355" s="7" t="s">
        <v>39</v>
      </c>
      <c r="L355" s="7"/>
      <c r="N355" s="2" t="str">
        <f t="shared" si="1"/>
        <v>Marketing</v>
      </c>
      <c r="O355" s="6">
        <f>IFERROR(__xludf.DUMMYFUNCTION("IFERROR(
  IF(LEN(TRIM(B355))=6,
    DATE(2000+VALUE(RIGHT(TRIM(B355),2)),MATCH(LEFT(TRIM(B355),3),{""Jan"",""Feb"",""Mar"",""Apr"",""May"",""Jun"",""Jul"",""Aug"",""Sep"",""Oct"",""Nov"",""Dec""},0),15),
  IF(REGEXMATCH(TRIM(B355),""^\d{2}[/-]\d{2}[/-]\d"&amp;"{4}$""),
    DATE(VALUE(RIGHT(TRIM(B355),4)),VALUE(MID(TRIM(B355),4,2)),VALUE(LEFT(TRIM(B355),2))),
  DATEVALUE(TRIM(B355)))),
""CHECK"")"),45303.0)</f>
        <v>45303</v>
      </c>
      <c r="R355" s="2" t="str">
        <f t="shared" si="2"/>
        <v>Jan</v>
      </c>
      <c r="S355" s="2" t="str">
        <f t="shared" si="3"/>
        <v>Q1</v>
      </c>
      <c r="T355" s="2">
        <f t="shared" si="4"/>
        <v>37316.33</v>
      </c>
    </row>
    <row r="356">
      <c r="A356" s="10" t="s">
        <v>868</v>
      </c>
      <c r="B356" s="5" t="s">
        <v>869</v>
      </c>
      <c r="C356" s="5" t="s">
        <v>22</v>
      </c>
      <c r="D356" s="5" t="s">
        <v>23</v>
      </c>
      <c r="E356" s="5" t="s">
        <v>63</v>
      </c>
      <c r="F356" s="5" t="s">
        <v>359</v>
      </c>
      <c r="G356" s="5">
        <v>209846.8</v>
      </c>
      <c r="H356" s="5" t="s">
        <v>26</v>
      </c>
      <c r="I356" s="5" t="s">
        <v>137</v>
      </c>
      <c r="J356" s="5" t="s">
        <v>49</v>
      </c>
      <c r="K356" s="5" t="s">
        <v>39</v>
      </c>
      <c r="L356" s="5"/>
      <c r="N356" s="2" t="str">
        <f t="shared" si="1"/>
        <v>Sales</v>
      </c>
      <c r="O356" s="6">
        <f>IFERROR(__xludf.DUMMYFUNCTION("IFERROR(
  IF(LEN(TRIM(B356))=6,
    DATE(2000+VALUE(RIGHT(TRIM(B356),2)),MATCH(LEFT(TRIM(B356),3),{""Jan"",""Feb"",""Mar"",""Apr"",""May"",""Jun"",""Jul"",""Aug"",""Sep"",""Oct"",""Nov"",""Dec""},0),15),
  IF(REGEXMATCH(TRIM(B356),""^\d{2}[/-]\d{2}[/-]\d"&amp;"{4}$""),
    DATE(VALUE(RIGHT(TRIM(B356),4)),VALUE(MID(TRIM(B356),4,2)),VALUE(LEFT(TRIM(B356),2))),
  DATEVALUE(TRIM(B356)))),
""CHECK"")"),45579.0)</f>
        <v>45579</v>
      </c>
      <c r="R356" s="2" t="str">
        <f t="shared" si="2"/>
        <v>Oct</v>
      </c>
      <c r="S356" s="2" t="str">
        <f t="shared" si="3"/>
        <v>Q4</v>
      </c>
      <c r="T356" s="2">
        <f t="shared" si="4"/>
        <v>209846.8</v>
      </c>
    </row>
    <row r="357">
      <c r="A357" s="9" t="s">
        <v>870</v>
      </c>
      <c r="B357" s="7" t="s">
        <v>721</v>
      </c>
      <c r="C357" s="7" t="s">
        <v>22</v>
      </c>
      <c r="D357" s="7" t="s">
        <v>23</v>
      </c>
      <c r="E357" s="7" t="s">
        <v>63</v>
      </c>
      <c r="F357" s="7" t="s">
        <v>133</v>
      </c>
      <c r="G357" s="7">
        <v>162179.84</v>
      </c>
      <c r="H357" s="7" t="s">
        <v>26</v>
      </c>
      <c r="I357" s="7" t="s">
        <v>43</v>
      </c>
      <c r="J357" s="7" t="s">
        <v>38</v>
      </c>
      <c r="K357" s="7" t="s">
        <v>39</v>
      </c>
      <c r="L357" s="7"/>
      <c r="N357" s="2" t="str">
        <f t="shared" si="1"/>
        <v>Sales</v>
      </c>
      <c r="O357" s="6">
        <f>IFERROR(__xludf.DUMMYFUNCTION("IFERROR(
  IF(LEN(TRIM(B357))=6,
    DATE(2000+VALUE(RIGHT(TRIM(B357),2)),MATCH(LEFT(TRIM(B357),3),{""Jan"",""Feb"",""Mar"",""Apr"",""May"",""Jun"",""Jul"",""Aug"",""Sep"",""Oct"",""Nov"",""Dec""},0),15),
  IF(REGEXMATCH(TRIM(B357),""^\d{2}[/-]\d{2}[/-]\d"&amp;"{4}$""),
    DATE(VALUE(RIGHT(TRIM(B357),4)),VALUE(MID(TRIM(B357),4,2)),VALUE(LEFT(TRIM(B357),2))),
  DATEVALUE(TRIM(B357)))),
""CHECK"")"),45627.0)</f>
        <v>45627</v>
      </c>
      <c r="R357" s="2" t="str">
        <f t="shared" si="2"/>
        <v>Dec</v>
      </c>
      <c r="S357" s="2" t="str">
        <f t="shared" si="3"/>
        <v>Q4</v>
      </c>
      <c r="T357" s="2">
        <f t="shared" si="4"/>
        <v>162179.84</v>
      </c>
    </row>
    <row r="358">
      <c r="A358" s="10" t="s">
        <v>871</v>
      </c>
      <c r="B358" s="5" t="s">
        <v>872</v>
      </c>
      <c r="C358" s="5" t="s">
        <v>22</v>
      </c>
      <c r="D358" s="5" t="s">
        <v>23</v>
      </c>
      <c r="E358" s="5" t="s">
        <v>24</v>
      </c>
      <c r="F358" s="5" t="s">
        <v>71</v>
      </c>
      <c r="G358" s="5">
        <v>129276.49</v>
      </c>
      <c r="H358" s="5" t="s">
        <v>26</v>
      </c>
      <c r="I358" s="5" t="s">
        <v>134</v>
      </c>
      <c r="J358" s="5" t="s">
        <v>49</v>
      </c>
      <c r="K358" s="5" t="s">
        <v>39</v>
      </c>
      <c r="L358" s="5"/>
      <c r="N358" s="2" t="str">
        <f t="shared" si="1"/>
        <v>Sales</v>
      </c>
      <c r="O358" s="6">
        <f>IFERROR(__xludf.DUMMYFUNCTION("IFERROR(
  IF(LEN(TRIM(B358))=6,
    DATE(2000+VALUE(RIGHT(TRIM(B358),2)),MATCH(LEFT(TRIM(B358),3),{""Jan"",""Feb"",""Mar"",""Apr"",""May"",""Jun"",""Jul"",""Aug"",""Sep"",""Oct"",""Nov"",""Dec""},0),15),
  IF(REGEXMATCH(TRIM(B358),""^\d{2}[/-]\d{2}[/-]\d"&amp;"{4}$""),
    DATE(VALUE(RIGHT(TRIM(B358),4)),VALUE(MID(TRIM(B358),4,2)),VALUE(LEFT(TRIM(B358),2))),
  DATEVALUE(TRIM(B358)))),
""CHECK"")"),45590.0)</f>
        <v>45590</v>
      </c>
      <c r="R358" s="2" t="str">
        <f t="shared" si="2"/>
        <v>Oct</v>
      </c>
      <c r="S358" s="2" t="str">
        <f t="shared" si="3"/>
        <v>Q4</v>
      </c>
      <c r="T358" s="2">
        <f t="shared" si="4"/>
        <v>129276.49</v>
      </c>
    </row>
    <row r="359">
      <c r="A359" s="9" t="s">
        <v>873</v>
      </c>
      <c r="B359" s="7" t="s">
        <v>128</v>
      </c>
      <c r="C359" s="7" t="s">
        <v>22</v>
      </c>
      <c r="D359" s="7" t="s">
        <v>85</v>
      </c>
      <c r="E359" s="7" t="s">
        <v>111</v>
      </c>
      <c r="F359" s="7" t="s">
        <v>272</v>
      </c>
      <c r="G359" s="7">
        <v>16017.53</v>
      </c>
      <c r="H359" s="7" t="s">
        <v>26</v>
      </c>
      <c r="I359" s="7" t="s">
        <v>72</v>
      </c>
      <c r="J359" s="7" t="s">
        <v>28</v>
      </c>
      <c r="K359" s="7" t="s">
        <v>29</v>
      </c>
      <c r="L359" s="7"/>
      <c r="N359" s="2" t="str">
        <f t="shared" si="1"/>
        <v>Sales</v>
      </c>
      <c r="O359" s="6">
        <f>IFERROR(__xludf.DUMMYFUNCTION("IFERROR(
  IF(LEN(TRIM(B359))=6,
    DATE(2000+VALUE(RIGHT(TRIM(B359),2)),MATCH(LEFT(TRIM(B359),3),{""Jan"",""Feb"",""Mar"",""Apr"",""May"",""Jun"",""Jul"",""Aug"",""Sep"",""Oct"",""Nov"",""Dec""},0),15),
  IF(REGEXMATCH(TRIM(B359),""^\d{2}[/-]\d{2}[/-]\d"&amp;"{4}$""),
    DATE(VALUE(RIGHT(TRIM(B359),4)),VALUE(MID(TRIM(B359),4,2)),VALUE(LEFT(TRIM(B359),2))),
  DATEVALUE(TRIM(B359)))),
""CHECK"")"),45306.0)</f>
        <v>45306</v>
      </c>
      <c r="R359" s="2" t="str">
        <f t="shared" si="2"/>
        <v>Jan</v>
      </c>
      <c r="S359" s="2" t="str">
        <f t="shared" si="3"/>
        <v>Q1</v>
      </c>
      <c r="T359" s="2">
        <f t="shared" si="4"/>
        <v>16017.53</v>
      </c>
    </row>
    <row r="360">
      <c r="A360" s="10" t="s">
        <v>874</v>
      </c>
      <c r="B360" s="5" t="s">
        <v>875</v>
      </c>
      <c r="C360" s="5" t="s">
        <v>34</v>
      </c>
      <c r="D360" s="5" t="s">
        <v>82</v>
      </c>
      <c r="E360" s="5" t="s">
        <v>99</v>
      </c>
      <c r="F360" s="5" t="s">
        <v>36</v>
      </c>
      <c r="G360" s="5">
        <v>19390.3</v>
      </c>
      <c r="H360" s="5" t="s">
        <v>26</v>
      </c>
      <c r="I360" s="5" t="s">
        <v>37</v>
      </c>
      <c r="J360" s="5" t="s">
        <v>58</v>
      </c>
      <c r="K360" s="5" t="s">
        <v>59</v>
      </c>
      <c r="L360" s="5"/>
      <c r="N360" s="2" t="str">
        <f t="shared" si="1"/>
        <v>Engineering</v>
      </c>
      <c r="O360" s="6">
        <f>IFERROR(__xludf.DUMMYFUNCTION("IFERROR(
  IF(LEN(TRIM(B360))=6,
    DATE(2000+VALUE(RIGHT(TRIM(B360),2)),MATCH(LEFT(TRIM(B360),3),{""Jan"",""Feb"",""Mar"",""Apr"",""May"",""Jun"",""Jul"",""Aug"",""Sep"",""Oct"",""Nov"",""Dec""},0),15),
  IF(REGEXMATCH(TRIM(B360),""^\d{2}[/-]\d{2}[/-]\d"&amp;"{4}$""),
    DATE(VALUE(RIGHT(TRIM(B360),4)),VALUE(MID(TRIM(B360),4,2)),VALUE(LEFT(TRIM(B360),2))),
  DATEVALUE(TRIM(B360)))),
""CHECK"")"),45501.0)</f>
        <v>45501</v>
      </c>
      <c r="R360" s="2" t="str">
        <f t="shared" si="2"/>
        <v>Jul</v>
      </c>
      <c r="S360" s="2" t="str">
        <f t="shared" si="3"/>
        <v>Q3</v>
      </c>
      <c r="T360" s="2">
        <f t="shared" si="4"/>
        <v>19390.3</v>
      </c>
    </row>
    <row r="361">
      <c r="A361" s="9" t="s">
        <v>876</v>
      </c>
      <c r="B361" s="7" t="s">
        <v>311</v>
      </c>
      <c r="C361" s="7" t="s">
        <v>34</v>
      </c>
      <c r="D361" s="7" t="s">
        <v>82</v>
      </c>
      <c r="E361" s="7" t="s">
        <v>94</v>
      </c>
      <c r="F361" s="7" t="s">
        <v>649</v>
      </c>
      <c r="G361" s="7">
        <v>28515.08</v>
      </c>
      <c r="H361" s="7" t="s">
        <v>26</v>
      </c>
      <c r="I361" s="7" t="s">
        <v>80</v>
      </c>
      <c r="J361" s="7" t="s">
        <v>49</v>
      </c>
      <c r="K361" s="7" t="s">
        <v>39</v>
      </c>
      <c r="L361" s="7"/>
      <c r="N361" s="2" t="str">
        <f t="shared" si="1"/>
        <v>Engineering</v>
      </c>
      <c r="O361" s="6">
        <f>IFERROR(__xludf.DUMMYFUNCTION("IFERROR(
  IF(LEN(TRIM(B361))=6,
    DATE(2000+VALUE(RIGHT(TRIM(B361),2)),MATCH(LEFT(TRIM(B361),3),{""Jan"",""Feb"",""Mar"",""Apr"",""May"",""Jun"",""Jul"",""Aug"",""Sep"",""Oct"",""Nov"",""Dec""},0),15),
  IF(REGEXMATCH(TRIM(B361),""^\d{2}[/-]\d{2}[/-]\d"&amp;"{4}$""),
    DATE(VALUE(RIGHT(TRIM(B361),4)),VALUE(MID(TRIM(B361),4,2)),VALUE(LEFT(TRIM(B361),2))),
  DATEVALUE(TRIM(B361)))),
""CHECK"")"),45580.0)</f>
        <v>45580</v>
      </c>
      <c r="R361" s="2" t="str">
        <f t="shared" si="2"/>
        <v>Oct</v>
      </c>
      <c r="S361" s="2" t="str">
        <f t="shared" si="3"/>
        <v>Q4</v>
      </c>
      <c r="T361" s="2">
        <f t="shared" si="4"/>
        <v>28515.08</v>
      </c>
    </row>
    <row r="362">
      <c r="A362" s="10" t="s">
        <v>877</v>
      </c>
      <c r="B362" s="5" t="s">
        <v>878</v>
      </c>
      <c r="C362" s="5" t="s">
        <v>22</v>
      </c>
      <c r="D362" s="5" t="s">
        <v>23</v>
      </c>
      <c r="E362" s="5" t="s">
        <v>24</v>
      </c>
      <c r="F362" s="5" t="s">
        <v>187</v>
      </c>
      <c r="G362" s="5">
        <v>163657.57</v>
      </c>
      <c r="H362" s="5" t="s">
        <v>26</v>
      </c>
      <c r="I362" s="5" t="s">
        <v>43</v>
      </c>
      <c r="J362" s="5" t="s">
        <v>142</v>
      </c>
      <c r="K362" s="5" t="s">
        <v>39</v>
      </c>
      <c r="L362" s="5"/>
      <c r="N362" s="2" t="str">
        <f t="shared" si="1"/>
        <v>Sales</v>
      </c>
      <c r="O362" s="6">
        <f>IFERROR(__xludf.DUMMYFUNCTION("IFERROR(
  IF(LEN(TRIM(B362))=6,
    DATE(2000+VALUE(RIGHT(TRIM(B362),2)),MATCH(LEFT(TRIM(B362),3),{""Jan"",""Feb"",""Mar"",""Apr"",""May"",""Jun"",""Jul"",""Aug"",""Sep"",""Oct"",""Nov"",""Dec""},0),15),
  IF(REGEXMATCH(TRIM(B362),""^\d{2}[/-]\d{2}[/-]\d"&amp;"{4}$""),
    DATE(VALUE(RIGHT(TRIM(B362),4)),VALUE(MID(TRIM(B362),4,2)),VALUE(LEFT(TRIM(B362),2))),
  DATEVALUE(TRIM(B362)))),
""CHECK"")"),45615.0)</f>
        <v>45615</v>
      </c>
      <c r="R362" s="2" t="str">
        <f t="shared" si="2"/>
        <v>Nov</v>
      </c>
      <c r="S362" s="2" t="str">
        <f t="shared" si="3"/>
        <v>Q4</v>
      </c>
      <c r="T362" s="2">
        <f t="shared" si="4"/>
        <v>163657.57</v>
      </c>
    </row>
    <row r="363">
      <c r="A363" s="9" t="s">
        <v>879</v>
      </c>
      <c r="B363" s="7" t="s">
        <v>880</v>
      </c>
      <c r="C363" s="7" t="s">
        <v>22</v>
      </c>
      <c r="D363" s="7" t="s">
        <v>62</v>
      </c>
      <c r="E363" s="7" t="s">
        <v>111</v>
      </c>
      <c r="F363" s="7" t="s">
        <v>98</v>
      </c>
      <c r="G363" s="7">
        <v>10367.57</v>
      </c>
      <c r="H363" s="7" t="s">
        <v>26</v>
      </c>
      <c r="I363" s="7" t="s">
        <v>134</v>
      </c>
      <c r="J363" s="7" t="s">
        <v>58</v>
      </c>
      <c r="K363" s="7" t="s">
        <v>59</v>
      </c>
      <c r="L363" s="7"/>
      <c r="N363" s="2" t="str">
        <f t="shared" si="1"/>
        <v>Sales</v>
      </c>
      <c r="O363" s="6">
        <f>IFERROR(__xludf.DUMMYFUNCTION("IFERROR(
  IF(LEN(TRIM(B363))=6,
    DATE(2000+VALUE(RIGHT(TRIM(B363),2)),MATCH(LEFT(TRIM(B363),3),{""Jan"",""Feb"",""Mar"",""Apr"",""May"",""Jun"",""Jul"",""Aug"",""Sep"",""Oct"",""Nov"",""Dec""},0),15),
  IF(REGEXMATCH(TRIM(B363),""^\d{2}[/-]\d{2}[/-]\d"&amp;"{4}$""),
    DATE(VALUE(RIGHT(TRIM(B363),4)),VALUE(MID(TRIM(B363),4,2)),VALUE(LEFT(TRIM(B363),2))),
  DATEVALUE(TRIM(B363)))),
""CHECK"")"),45477.0)</f>
        <v>45477</v>
      </c>
      <c r="R363" s="2" t="str">
        <f t="shared" si="2"/>
        <v>Jul</v>
      </c>
      <c r="S363" s="2" t="str">
        <f t="shared" si="3"/>
        <v>Q3</v>
      </c>
      <c r="T363" s="2">
        <f t="shared" si="4"/>
        <v>10367.57</v>
      </c>
    </row>
    <row r="364">
      <c r="A364" s="10" t="s">
        <v>881</v>
      </c>
      <c r="B364" s="5" t="s">
        <v>882</v>
      </c>
      <c r="C364" s="5" t="s">
        <v>34</v>
      </c>
      <c r="D364" s="5" t="s">
        <v>82</v>
      </c>
      <c r="E364" s="5" t="s">
        <v>82</v>
      </c>
      <c r="F364" s="5" t="s">
        <v>125</v>
      </c>
      <c r="G364" s="5">
        <v>15849.72</v>
      </c>
      <c r="H364" s="5" t="s">
        <v>26</v>
      </c>
      <c r="I364" s="5" t="s">
        <v>57</v>
      </c>
      <c r="J364" s="5" t="s">
        <v>108</v>
      </c>
      <c r="K364" s="5" t="s">
        <v>59</v>
      </c>
      <c r="L364" s="5"/>
      <c r="N364" s="2" t="str">
        <f t="shared" si="1"/>
        <v>Engineering</v>
      </c>
      <c r="O364" s="6">
        <f>IFERROR(__xludf.DUMMYFUNCTION("IFERROR(
  IF(LEN(TRIM(B364))=6,
    DATE(2000+VALUE(RIGHT(TRIM(B364),2)),MATCH(LEFT(TRIM(B364),3),{""Jan"",""Feb"",""Mar"",""Apr"",""May"",""Jun"",""Jul"",""Aug"",""Sep"",""Oct"",""Nov"",""Dec""},0),15),
  IF(REGEXMATCH(TRIM(B364),""^\d{2}[/-]\d{2}[/-]\d"&amp;"{4}$""),
    DATE(VALUE(RIGHT(TRIM(B364),4)),VALUE(MID(TRIM(B364),4,2)),VALUE(LEFT(TRIM(B364),2))),
  DATEVALUE(TRIM(B364)))),
""CHECK"")"),45535.0)</f>
        <v>45535</v>
      </c>
      <c r="R364" s="2" t="str">
        <f t="shared" si="2"/>
        <v>Aug</v>
      </c>
      <c r="S364" s="2" t="str">
        <f t="shared" si="3"/>
        <v>Q3</v>
      </c>
      <c r="T364" s="2">
        <f t="shared" si="4"/>
        <v>15849.72</v>
      </c>
    </row>
    <row r="365">
      <c r="A365" s="9" t="s">
        <v>883</v>
      </c>
      <c r="B365" s="7" t="s">
        <v>101</v>
      </c>
      <c r="C365" s="7" t="s">
        <v>34</v>
      </c>
      <c r="D365" s="7" t="s">
        <v>54</v>
      </c>
      <c r="E365" s="7" t="s">
        <v>130</v>
      </c>
      <c r="F365" s="7" t="s">
        <v>117</v>
      </c>
      <c r="G365" s="7">
        <v>35436.05</v>
      </c>
      <c r="H365" s="7" t="s">
        <v>26</v>
      </c>
      <c r="I365" s="7" t="s">
        <v>118</v>
      </c>
      <c r="J365" s="7" t="s">
        <v>44</v>
      </c>
      <c r="K365" s="7" t="s">
        <v>29</v>
      </c>
      <c r="L365" s="7"/>
      <c r="N365" s="2" t="str">
        <f t="shared" si="1"/>
        <v>Marketing</v>
      </c>
      <c r="O365" s="6">
        <f>IFERROR(__xludf.DUMMYFUNCTION("IFERROR(
  IF(LEN(TRIM(B365))=6,
    DATE(2000+VALUE(RIGHT(TRIM(B365),2)),MATCH(LEFT(TRIM(B365),3),{""Jan"",""Feb"",""Mar"",""Apr"",""May"",""Jun"",""Jul"",""Aug"",""Sep"",""Oct"",""Nov"",""Dec""},0),15),
  IF(REGEXMATCH(TRIM(B365),""^\d{2}[/-]\d{2}[/-]\d"&amp;"{4}$""),
    DATE(VALUE(RIGHT(TRIM(B365),4)),VALUE(MID(TRIM(B365),4,2)),VALUE(LEFT(TRIM(B365),2))),
  DATEVALUE(TRIM(B365)))),
""CHECK"")"),45366.0)</f>
        <v>45366</v>
      </c>
      <c r="R365" s="2" t="str">
        <f t="shared" si="2"/>
        <v>Mar</v>
      </c>
      <c r="S365" s="2" t="str">
        <f t="shared" si="3"/>
        <v>Q1</v>
      </c>
      <c r="T365" s="2">
        <f t="shared" si="4"/>
        <v>35436.05</v>
      </c>
    </row>
    <row r="366">
      <c r="A366" s="10" t="s">
        <v>884</v>
      </c>
      <c r="B366" s="5" t="s">
        <v>885</v>
      </c>
      <c r="C366" s="5" t="s">
        <v>22</v>
      </c>
      <c r="D366" s="5" t="s">
        <v>85</v>
      </c>
      <c r="E366" s="5" t="s">
        <v>63</v>
      </c>
      <c r="F366" s="5" t="s">
        <v>240</v>
      </c>
      <c r="G366" s="5">
        <v>26178.47</v>
      </c>
      <c r="H366" s="5" t="s">
        <v>26</v>
      </c>
      <c r="I366" s="5" t="s">
        <v>43</v>
      </c>
      <c r="J366" s="5" t="s">
        <v>113</v>
      </c>
      <c r="K366" s="5" t="s">
        <v>67</v>
      </c>
      <c r="L366" s="5"/>
      <c r="N366" s="2" t="str">
        <f t="shared" si="1"/>
        <v>Sales</v>
      </c>
      <c r="O366" s="6">
        <f>IFERROR(__xludf.DUMMYFUNCTION("IFERROR(
  IF(LEN(TRIM(B366))=6,
    DATE(2000+VALUE(RIGHT(TRIM(B366),2)),MATCH(LEFT(TRIM(B366),3),{""Jan"",""Feb"",""Mar"",""Apr"",""May"",""Jun"",""Jul"",""Aug"",""Sep"",""Oct"",""Nov"",""Dec""},0),15),
  IF(REGEXMATCH(TRIM(B366),""^\d{2}[/-]\d{2}[/-]\d"&amp;"{4}$""),
    DATE(VALUE(RIGHT(TRIM(B366),4)),VALUE(MID(TRIM(B366),4,2)),VALUE(LEFT(TRIM(B366),2))),
  DATEVALUE(TRIM(B366)))),
""CHECK"")"),45465.0)</f>
        <v>45465</v>
      </c>
      <c r="R366" s="2" t="str">
        <f t="shared" si="2"/>
        <v>Jun</v>
      </c>
      <c r="S366" s="2" t="str">
        <f t="shared" si="3"/>
        <v>Q2</v>
      </c>
      <c r="T366" s="2">
        <f t="shared" si="4"/>
        <v>26178.47</v>
      </c>
    </row>
    <row r="367">
      <c r="A367" s="9" t="s">
        <v>886</v>
      </c>
      <c r="B367" s="7" t="s">
        <v>653</v>
      </c>
      <c r="C367" s="7" t="s">
        <v>34</v>
      </c>
      <c r="D367" s="7" t="s">
        <v>90</v>
      </c>
      <c r="E367" s="7" t="s">
        <v>90</v>
      </c>
      <c r="F367" s="7" t="s">
        <v>887</v>
      </c>
      <c r="G367" s="7">
        <v>11843.51</v>
      </c>
      <c r="H367" s="7" t="s">
        <v>26</v>
      </c>
      <c r="I367" s="7" t="s">
        <v>394</v>
      </c>
      <c r="J367" s="7" t="s">
        <v>126</v>
      </c>
      <c r="K367" s="7" t="s">
        <v>29</v>
      </c>
      <c r="L367" s="7"/>
      <c r="N367" s="2" t="str">
        <f t="shared" si="1"/>
        <v>G&amp;A</v>
      </c>
      <c r="O367" s="6">
        <f>IFERROR(__xludf.DUMMYFUNCTION("IFERROR(
  IF(LEN(TRIM(B367))=6,
    DATE(2000+VALUE(RIGHT(TRIM(B367),2)),MATCH(LEFT(TRIM(B367),3),{""Jan"",""Feb"",""Mar"",""Apr"",""May"",""Jun"",""Jul"",""Aug"",""Sep"",""Oct"",""Nov"",""Dec""},0),15),
  IF(REGEXMATCH(TRIM(B367),""^\d{2}[/-]\d{2}[/-]\d"&amp;"{4}$""),
    DATE(VALUE(RIGHT(TRIM(B367),4)),VALUE(MID(TRIM(B367),4,2)),VALUE(LEFT(TRIM(B367),2))),
  DATEVALUE(TRIM(B367)))),
""CHECK"")"),45337.0)</f>
        <v>45337</v>
      </c>
      <c r="R367" s="2" t="str">
        <f t="shared" si="2"/>
        <v>Feb</v>
      </c>
      <c r="S367" s="2" t="str">
        <f t="shared" si="3"/>
        <v>Q1</v>
      </c>
      <c r="T367" s="2">
        <f t="shared" si="4"/>
        <v>11843.51</v>
      </c>
    </row>
    <row r="368">
      <c r="A368" s="10" t="s">
        <v>888</v>
      </c>
      <c r="B368" s="5" t="s">
        <v>889</v>
      </c>
      <c r="C368" s="5" t="s">
        <v>34</v>
      </c>
      <c r="D368" s="5" t="s">
        <v>51</v>
      </c>
      <c r="E368" s="5" t="s">
        <v>50</v>
      </c>
      <c r="F368" s="5" t="s">
        <v>775</v>
      </c>
      <c r="G368" s="5">
        <v>19498.84</v>
      </c>
      <c r="H368" s="5" t="s">
        <v>26</v>
      </c>
      <c r="I368" s="5" t="s">
        <v>80</v>
      </c>
      <c r="J368" s="5" t="s">
        <v>87</v>
      </c>
      <c r="K368" s="5" t="s">
        <v>67</v>
      </c>
      <c r="L368" s="5"/>
      <c r="N368" s="2" t="str">
        <f t="shared" si="1"/>
        <v>Customer Success</v>
      </c>
      <c r="O368" s="6">
        <f>IFERROR(__xludf.DUMMYFUNCTION("IFERROR(
  IF(LEN(TRIM(B368))=6,
    DATE(2000+VALUE(RIGHT(TRIM(B368),2)),MATCH(LEFT(TRIM(B368),3),{""Jan"",""Feb"",""Mar"",""Apr"",""May"",""Jun"",""Jul"",""Aug"",""Sep"",""Oct"",""Nov"",""Dec""},0),15),
  IF(REGEXMATCH(TRIM(B368),""^\d{2}[/-]\d{2}[/-]\d"&amp;"{4}$""),
    DATE(VALUE(RIGHT(TRIM(B368),4)),VALUE(MID(TRIM(B368),4,2)),VALUE(LEFT(TRIM(B368),2))),
  DATEVALUE(TRIM(B368)))),
""CHECK"")"),45296.0)</f>
        <v>45296</v>
      </c>
      <c r="R368" s="2" t="str">
        <f t="shared" si="2"/>
        <v>Jan</v>
      </c>
      <c r="S368" s="2" t="str">
        <f t="shared" si="3"/>
        <v>Q1</v>
      </c>
      <c r="T368" s="2">
        <f t="shared" si="4"/>
        <v>19498.84</v>
      </c>
    </row>
    <row r="369">
      <c r="A369" s="9" t="s">
        <v>890</v>
      </c>
      <c r="B369" s="7" t="s">
        <v>891</v>
      </c>
      <c r="C369" s="7" t="s">
        <v>34</v>
      </c>
      <c r="D369" s="7" t="s">
        <v>90</v>
      </c>
      <c r="E369" s="7" t="s">
        <v>104</v>
      </c>
      <c r="F369" s="7" t="s">
        <v>102</v>
      </c>
      <c r="G369" s="7">
        <v>9885.61</v>
      </c>
      <c r="H369" s="7" t="s">
        <v>26</v>
      </c>
      <c r="I369" s="7" t="s">
        <v>103</v>
      </c>
      <c r="J369" s="7" t="s">
        <v>142</v>
      </c>
      <c r="K369" s="7" t="s">
        <v>39</v>
      </c>
      <c r="L369" s="7"/>
      <c r="N369" s="2" t="str">
        <f t="shared" si="1"/>
        <v>G&amp;A</v>
      </c>
      <c r="O369" s="6">
        <f>IFERROR(__xludf.DUMMYFUNCTION("IFERROR(
  IF(LEN(TRIM(B369))=6,
    DATE(2000+VALUE(RIGHT(TRIM(B369),2)),MATCH(LEFT(TRIM(B369),3),{""Jan"",""Feb"",""Mar"",""Apr"",""May"",""Jun"",""Jul"",""Aug"",""Sep"",""Oct"",""Nov"",""Dec""},0),15),
  IF(REGEXMATCH(TRIM(B369),""^\d{2}[/-]\d{2}[/-]\d"&amp;"{4}$""),
    DATE(VALUE(RIGHT(TRIM(B369),4)),VALUE(MID(TRIM(B369),4,2)),VALUE(LEFT(TRIM(B369),2))),
  DATEVALUE(TRIM(B369)))),
""CHECK"")"),45609.0)</f>
        <v>45609</v>
      </c>
      <c r="R369" s="2" t="str">
        <f t="shared" si="2"/>
        <v>Nov</v>
      </c>
      <c r="S369" s="2" t="str">
        <f t="shared" si="3"/>
        <v>Q4</v>
      </c>
      <c r="T369" s="2">
        <f t="shared" si="4"/>
        <v>9885.61</v>
      </c>
    </row>
    <row r="370">
      <c r="A370" s="10" t="s">
        <v>892</v>
      </c>
      <c r="B370" s="5" t="s">
        <v>574</v>
      </c>
      <c r="C370" s="5" t="s">
        <v>22</v>
      </c>
      <c r="D370" s="5" t="s">
        <v>85</v>
      </c>
      <c r="E370" s="5" t="s">
        <v>97</v>
      </c>
      <c r="F370" s="5" t="s">
        <v>216</v>
      </c>
      <c r="G370" s="5">
        <v>22295.38</v>
      </c>
      <c r="H370" s="5" t="s">
        <v>26</v>
      </c>
      <c r="I370" s="5" t="s">
        <v>213</v>
      </c>
      <c r="J370" s="5"/>
      <c r="K370" s="5"/>
      <c r="L370" s="5"/>
      <c r="N370" s="2" t="str">
        <f t="shared" si="1"/>
        <v>Sales</v>
      </c>
      <c r="O370" s="6">
        <f>IFERROR(__xludf.DUMMYFUNCTION("IFERROR(
  IF(LEN(TRIM(B370))=6,
    DATE(2000+VALUE(RIGHT(TRIM(B370),2)),MATCH(LEFT(TRIM(B370),3),{""Jan"",""Feb"",""Mar"",""Apr"",""May"",""Jun"",""Jul"",""Aug"",""Sep"",""Oct"",""Nov"",""Dec""},0),15),
  IF(REGEXMATCH(TRIM(B370),""^\d{2}[/-]\d{2}[/-]\d"&amp;"{4}$""),
    DATE(VALUE(RIGHT(TRIM(B370),4)),VALUE(MID(TRIM(B370),4,2)),VALUE(LEFT(TRIM(B370),2))),
  DATEVALUE(TRIM(B370)))),
""CHECK"")"),45344.0)</f>
        <v>45344</v>
      </c>
      <c r="R370" s="2" t="str">
        <f t="shared" si="2"/>
        <v>Feb</v>
      </c>
      <c r="S370" s="2" t="str">
        <f t="shared" si="3"/>
        <v>Q1</v>
      </c>
      <c r="T370" s="2">
        <f t="shared" si="4"/>
        <v>22295.38</v>
      </c>
    </row>
    <row r="371">
      <c r="A371" s="9" t="s">
        <v>893</v>
      </c>
      <c r="B371" s="7" t="s">
        <v>894</v>
      </c>
      <c r="C371" s="7" t="s">
        <v>34</v>
      </c>
      <c r="D371" s="7" t="s">
        <v>54</v>
      </c>
      <c r="E371" s="7" t="s">
        <v>196</v>
      </c>
      <c r="F371" s="7" t="s">
        <v>895</v>
      </c>
      <c r="G371" s="7">
        <v>24393.09</v>
      </c>
      <c r="H371" s="7" t="s">
        <v>26</v>
      </c>
      <c r="I371" s="7" t="s">
        <v>168</v>
      </c>
      <c r="J371" s="7" t="s">
        <v>38</v>
      </c>
      <c r="K371" s="7" t="s">
        <v>39</v>
      </c>
      <c r="L371" s="7"/>
      <c r="N371" s="2" t="str">
        <f t="shared" si="1"/>
        <v>Marketing</v>
      </c>
      <c r="O371" s="6">
        <f>IFERROR(__xludf.DUMMYFUNCTION("IFERROR(
  IF(LEN(TRIM(B371))=6,
    DATE(2000+VALUE(RIGHT(TRIM(B371),2)),MATCH(LEFT(TRIM(B371),3),{""Jan"",""Feb"",""Mar"",""Apr"",""May"",""Jun"",""Jul"",""Aug"",""Sep"",""Oct"",""Nov"",""Dec""},0),15),
  IF(REGEXMATCH(TRIM(B371),""^\d{2}[/-]\d{2}[/-]\d"&amp;"{4}$""),
    DATE(VALUE(RIGHT(TRIM(B371),4)),VALUE(MID(TRIM(B371),4,2)),VALUE(LEFT(TRIM(B371),2))),
  DATEVALUE(TRIM(B371)))),
""CHECK"")"),45646.0)</f>
        <v>45646</v>
      </c>
      <c r="R371" s="2" t="str">
        <f t="shared" si="2"/>
        <v>Dec</v>
      </c>
      <c r="S371" s="2" t="str">
        <f t="shared" si="3"/>
        <v>Q4</v>
      </c>
      <c r="T371" s="2">
        <f t="shared" si="4"/>
        <v>24393.09</v>
      </c>
    </row>
    <row r="372">
      <c r="A372" s="10" t="s">
        <v>896</v>
      </c>
      <c r="B372" s="5" t="s">
        <v>897</v>
      </c>
      <c r="C372" s="5" t="s">
        <v>34</v>
      </c>
      <c r="D372" s="5" t="s">
        <v>90</v>
      </c>
      <c r="E372" s="5" t="s">
        <v>114</v>
      </c>
      <c r="F372" s="5" t="s">
        <v>670</v>
      </c>
      <c r="G372" s="5">
        <v>16743.67</v>
      </c>
      <c r="H372" s="5" t="s">
        <v>26</v>
      </c>
      <c r="I372" s="5" t="s">
        <v>93</v>
      </c>
      <c r="J372" s="5" t="s">
        <v>113</v>
      </c>
      <c r="K372" s="5" t="s">
        <v>67</v>
      </c>
      <c r="L372" s="5"/>
      <c r="N372" s="2" t="str">
        <f t="shared" si="1"/>
        <v>G&amp;A</v>
      </c>
      <c r="O372" s="6">
        <f>IFERROR(__xludf.DUMMYFUNCTION("IFERROR(
  IF(LEN(TRIM(B372))=6,
    DATE(2000+VALUE(RIGHT(TRIM(B372),2)),MATCH(LEFT(TRIM(B372),3),{""Jan"",""Feb"",""Mar"",""Apr"",""May"",""Jun"",""Jul"",""Aug"",""Sep"",""Oct"",""Nov"",""Dec""},0),15),
  IF(REGEXMATCH(TRIM(B372),""^\d{2}[/-]\d{2}[/-]\d"&amp;"{4}$""),
    DATE(VALUE(RIGHT(TRIM(B372),4)),VALUE(MID(TRIM(B372),4,2)),VALUE(LEFT(TRIM(B372),2))),
  DATEVALUE(TRIM(B372)))),
""CHECK"")"),45456.0)</f>
        <v>45456</v>
      </c>
      <c r="R372" s="2" t="str">
        <f t="shared" si="2"/>
        <v>Jun</v>
      </c>
      <c r="S372" s="2" t="str">
        <f t="shared" si="3"/>
        <v>Q2</v>
      </c>
      <c r="T372" s="2">
        <f t="shared" si="4"/>
        <v>16743.67</v>
      </c>
    </row>
    <row r="373">
      <c r="A373" s="9" t="s">
        <v>898</v>
      </c>
      <c r="B373" s="7" t="s">
        <v>899</v>
      </c>
      <c r="C373" s="7" t="s">
        <v>34</v>
      </c>
      <c r="D373" s="7" t="s">
        <v>82</v>
      </c>
      <c r="E373" s="7" t="s">
        <v>81</v>
      </c>
      <c r="F373" s="7" t="s">
        <v>563</v>
      </c>
      <c r="G373" s="7">
        <v>42631.05</v>
      </c>
      <c r="H373" s="7" t="s">
        <v>26</v>
      </c>
      <c r="I373" s="7" t="s">
        <v>141</v>
      </c>
      <c r="J373" s="7" t="s">
        <v>38</v>
      </c>
      <c r="K373" s="7" t="s">
        <v>39</v>
      </c>
      <c r="L373" s="7"/>
      <c r="N373" s="2" t="str">
        <f t="shared" si="1"/>
        <v>Engineering</v>
      </c>
      <c r="O373" s="6">
        <f>IFERROR(__xludf.DUMMYFUNCTION("IFERROR(
  IF(LEN(TRIM(B373))=6,
    DATE(2000+VALUE(RIGHT(TRIM(B373),2)),MATCH(LEFT(TRIM(B373),3),{""Jan"",""Feb"",""Mar"",""Apr"",""May"",""Jun"",""Jul"",""Aug"",""Sep"",""Oct"",""Nov"",""Dec""},0),15),
  IF(REGEXMATCH(TRIM(B373),""^\d{2}[/-]\d{2}[/-]\d"&amp;"{4}$""),
    DATE(VALUE(RIGHT(TRIM(B373),4)),VALUE(MID(TRIM(B373),4,2)),VALUE(LEFT(TRIM(B373),2))),
  DATEVALUE(TRIM(B373)))),
""CHECK"")"),45632.0)</f>
        <v>45632</v>
      </c>
      <c r="R373" s="2" t="str">
        <f t="shared" si="2"/>
        <v>Dec</v>
      </c>
      <c r="S373" s="2" t="str">
        <f t="shared" si="3"/>
        <v>Q4</v>
      </c>
      <c r="T373" s="2">
        <f t="shared" si="4"/>
        <v>42631.05</v>
      </c>
    </row>
    <row r="374">
      <c r="A374" s="10" t="s">
        <v>900</v>
      </c>
      <c r="B374" s="5" t="s">
        <v>459</v>
      </c>
      <c r="C374" s="5" t="s">
        <v>22</v>
      </c>
      <c r="D374" s="5" t="s">
        <v>23</v>
      </c>
      <c r="E374" s="5" t="s">
        <v>24</v>
      </c>
      <c r="F374" s="5" t="s">
        <v>25</v>
      </c>
      <c r="G374" s="5"/>
      <c r="H374" s="5" t="s">
        <v>26</v>
      </c>
      <c r="I374" s="5" t="s">
        <v>129</v>
      </c>
      <c r="J374" s="5" t="s">
        <v>113</v>
      </c>
      <c r="K374" s="5" t="s">
        <v>67</v>
      </c>
      <c r="L374" s="5"/>
      <c r="N374" s="2" t="str">
        <f t="shared" si="1"/>
        <v>Sales</v>
      </c>
      <c r="O374" s="6">
        <f>IFERROR(__xludf.DUMMYFUNCTION("IFERROR(
  IF(LEN(TRIM(B374))=6,
    DATE(2000+VALUE(RIGHT(TRIM(B374),2)),MATCH(LEFT(TRIM(B374),3),{""Jan"",""Feb"",""Mar"",""Apr"",""May"",""Jun"",""Jul"",""Aug"",""Sep"",""Oct"",""Nov"",""Dec""},0),15),
  IF(REGEXMATCH(TRIM(B374),""^\d{2}[/-]\d{2}[/-]\d"&amp;"{4}$""),
    DATE(VALUE(RIGHT(TRIM(B374),4)),VALUE(MID(TRIM(B374),4,2)),VALUE(LEFT(TRIM(B374),2))),
  DATEVALUE(TRIM(B374)))),
""CHECK"")"),45783.0)</f>
        <v>45783</v>
      </c>
      <c r="R374" s="2" t="str">
        <f t="shared" si="2"/>
        <v>May</v>
      </c>
      <c r="S374" s="2" t="str">
        <f t="shared" si="3"/>
        <v>Q2</v>
      </c>
      <c r="T374" s="2">
        <f t="shared" si="4"/>
        <v>0</v>
      </c>
    </row>
    <row r="375">
      <c r="A375" s="9" t="s">
        <v>901</v>
      </c>
      <c r="B375" s="7" t="s">
        <v>902</v>
      </c>
      <c r="C375" s="7" t="s">
        <v>22</v>
      </c>
      <c r="D375" s="7" t="s">
        <v>23</v>
      </c>
      <c r="E375" s="7" t="s">
        <v>97</v>
      </c>
      <c r="F375" s="7" t="s">
        <v>275</v>
      </c>
      <c r="G375" s="7">
        <v>171835.24</v>
      </c>
      <c r="H375" s="7" t="s">
        <v>26</v>
      </c>
      <c r="I375" s="7" t="s">
        <v>129</v>
      </c>
      <c r="J375" s="7" t="s">
        <v>58</v>
      </c>
      <c r="K375" s="7" t="s">
        <v>59</v>
      </c>
      <c r="L375" s="7"/>
      <c r="N375" s="2" t="str">
        <f t="shared" si="1"/>
        <v>Sales</v>
      </c>
      <c r="O375" s="6">
        <f>IFERROR(__xludf.DUMMYFUNCTION("IFERROR(
  IF(LEN(TRIM(B375))=6,
    DATE(2000+VALUE(RIGHT(TRIM(B375),2)),MATCH(LEFT(TRIM(B375),3),{""Jan"",""Feb"",""Mar"",""Apr"",""May"",""Jun"",""Jul"",""Aug"",""Sep"",""Oct"",""Nov"",""Dec""},0),15),
  IF(REGEXMATCH(TRIM(B375),""^\d{2}[/-]\d{2}[/-]\d"&amp;"{4}$""),
    DATE(VALUE(RIGHT(TRIM(B375),4)),VALUE(MID(TRIM(B375),4,2)),VALUE(LEFT(TRIM(B375),2))),
  DATEVALUE(TRIM(B375)))),
""CHECK"")"),45497.0)</f>
        <v>45497</v>
      </c>
      <c r="R375" s="2" t="str">
        <f t="shared" si="2"/>
        <v>Jul</v>
      </c>
      <c r="S375" s="2" t="str">
        <f t="shared" si="3"/>
        <v>Q3</v>
      </c>
      <c r="T375" s="2">
        <f t="shared" si="4"/>
        <v>171835.24</v>
      </c>
    </row>
    <row r="376">
      <c r="A376" s="10" t="s">
        <v>903</v>
      </c>
      <c r="B376" s="5" t="s">
        <v>904</v>
      </c>
      <c r="C376" s="5" t="s">
        <v>34</v>
      </c>
      <c r="D376" s="5" t="s">
        <v>51</v>
      </c>
      <c r="E376" s="5" t="s">
        <v>68</v>
      </c>
      <c r="F376" s="5" t="s">
        <v>377</v>
      </c>
      <c r="G376" s="5">
        <v>19543.59</v>
      </c>
      <c r="H376" s="5" t="s">
        <v>26</v>
      </c>
      <c r="I376" s="5" t="s">
        <v>37</v>
      </c>
      <c r="J376" s="5" t="s">
        <v>66</v>
      </c>
      <c r="K376" s="5" t="s">
        <v>67</v>
      </c>
      <c r="L376" s="5"/>
      <c r="N376" s="2" t="str">
        <f t="shared" si="1"/>
        <v>Customer Success</v>
      </c>
      <c r="O376" s="6">
        <f>IFERROR(__xludf.DUMMYFUNCTION("IFERROR(
  IF(LEN(TRIM(B376))=6,
    DATE(2000+VALUE(RIGHT(TRIM(B376),2)),MATCH(LEFT(TRIM(B376),3),{""Jan"",""Feb"",""Mar"",""Apr"",""May"",""Jun"",""Jul"",""Aug"",""Sep"",""Oct"",""Nov"",""Dec""},0),15),
  IF(REGEXMATCH(TRIM(B376),""^\d{2}[/-]\d{2}[/-]\d"&amp;"{4}$""),
    DATE(VALUE(RIGHT(TRIM(B376),4)),VALUE(MID(TRIM(B376),4,2)),VALUE(LEFT(TRIM(B376),2))),
  DATEVALUE(TRIM(B376)))),
""CHECK"")"),45401.0)</f>
        <v>45401</v>
      </c>
      <c r="R376" s="2" t="str">
        <f t="shared" si="2"/>
        <v>Apr</v>
      </c>
      <c r="S376" s="2" t="str">
        <f t="shared" si="3"/>
        <v>Q2</v>
      </c>
      <c r="T376" s="2">
        <f t="shared" si="4"/>
        <v>19543.59</v>
      </c>
    </row>
    <row r="377">
      <c r="A377" s="9" t="s">
        <v>905</v>
      </c>
      <c r="B377" s="7" t="s">
        <v>906</v>
      </c>
      <c r="C377" s="7" t="s">
        <v>34</v>
      </c>
      <c r="D377" s="7" t="s">
        <v>51</v>
      </c>
      <c r="E377" s="7" t="s">
        <v>68</v>
      </c>
      <c r="F377" s="7" t="s">
        <v>78</v>
      </c>
      <c r="G377" s="7">
        <v>19698.32</v>
      </c>
      <c r="H377" s="7" t="s">
        <v>26</v>
      </c>
      <c r="I377" s="7" t="s">
        <v>80</v>
      </c>
      <c r="J377" s="7" t="s">
        <v>108</v>
      </c>
      <c r="K377" s="7" t="s">
        <v>59</v>
      </c>
      <c r="L377" s="7"/>
      <c r="N377" s="2" t="str">
        <f t="shared" si="1"/>
        <v>Customer Success</v>
      </c>
      <c r="O377" s="6">
        <f>IFERROR(__xludf.DUMMYFUNCTION("IFERROR(
  IF(LEN(TRIM(B377))=6,
    DATE(2000+VALUE(RIGHT(TRIM(B377),2)),MATCH(LEFT(TRIM(B377),3),{""Jan"",""Feb"",""Mar"",""Apr"",""May"",""Jun"",""Jul"",""Aug"",""Sep"",""Oct"",""Nov"",""Dec""},0),15),
  IF(REGEXMATCH(TRIM(B377),""^\d{2}[/-]\d{2}[/-]\d"&amp;"{4}$""),
    DATE(VALUE(RIGHT(TRIM(B377),4)),VALUE(MID(TRIM(B377),4,2)),VALUE(LEFT(TRIM(B377),2))),
  DATEVALUE(TRIM(B377)))),
""CHECK"")"),45515.0)</f>
        <v>45515</v>
      </c>
      <c r="R377" s="2" t="str">
        <f t="shared" si="2"/>
        <v>Aug</v>
      </c>
      <c r="S377" s="2" t="str">
        <f t="shared" si="3"/>
        <v>Q3</v>
      </c>
      <c r="T377" s="2">
        <f t="shared" si="4"/>
        <v>19698.32</v>
      </c>
    </row>
    <row r="378">
      <c r="A378" s="10" t="s">
        <v>907</v>
      </c>
      <c r="B378" s="5" t="s">
        <v>247</v>
      </c>
      <c r="C378" s="5" t="s">
        <v>22</v>
      </c>
      <c r="D378" s="5" t="s">
        <v>85</v>
      </c>
      <c r="E378" s="5" t="s">
        <v>111</v>
      </c>
      <c r="F378" s="5" t="s">
        <v>190</v>
      </c>
      <c r="G378" s="5">
        <v>25317.63</v>
      </c>
      <c r="H378" s="5" t="s">
        <v>26</v>
      </c>
      <c r="I378" s="5" t="s">
        <v>43</v>
      </c>
      <c r="J378" s="5" t="s">
        <v>66</v>
      </c>
      <c r="K378" s="5" t="s">
        <v>67</v>
      </c>
      <c r="L378" s="5"/>
      <c r="N378" s="2" t="str">
        <f t="shared" si="1"/>
        <v>Sales</v>
      </c>
      <c r="O378" s="6">
        <f>IFERROR(__xludf.DUMMYFUNCTION("IFERROR(
  IF(LEN(TRIM(B378))=6,
    DATE(2000+VALUE(RIGHT(TRIM(B378),2)),MATCH(LEFT(TRIM(B378),3),{""Jan"",""Feb"",""Mar"",""Apr"",""May"",""Jun"",""Jul"",""Aug"",""Sep"",""Oct"",""Nov"",""Dec""},0),15),
  IF(REGEXMATCH(TRIM(B378),""^\d{2}[/-]\d{2}[/-]\d"&amp;"{4}$""),
    DATE(VALUE(RIGHT(TRIM(B378),4)),VALUE(MID(TRIM(B378),4,2)),VALUE(LEFT(TRIM(B378),2))),
  DATEVALUE(TRIM(B378)))),
""CHECK"")"),45397.0)</f>
        <v>45397</v>
      </c>
      <c r="R378" s="2" t="str">
        <f t="shared" si="2"/>
        <v>Apr</v>
      </c>
      <c r="S378" s="2" t="str">
        <f t="shared" si="3"/>
        <v>Q2</v>
      </c>
      <c r="T378" s="2">
        <f t="shared" si="4"/>
        <v>25317.63</v>
      </c>
    </row>
    <row r="379">
      <c r="A379" s="9" t="s">
        <v>908</v>
      </c>
      <c r="B379" s="7" t="s">
        <v>909</v>
      </c>
      <c r="C379" s="7" t="s">
        <v>34</v>
      </c>
      <c r="D379" s="7" t="s">
        <v>111</v>
      </c>
      <c r="E379" s="7" t="s">
        <v>24</v>
      </c>
      <c r="F379" s="7" t="s">
        <v>338</v>
      </c>
      <c r="G379" s="7">
        <v>19485.51</v>
      </c>
      <c r="H379" s="7" t="s">
        <v>26</v>
      </c>
      <c r="I379" s="7" t="s">
        <v>141</v>
      </c>
      <c r="J379" s="7" t="s">
        <v>108</v>
      </c>
      <c r="K379" s="7" t="s">
        <v>59</v>
      </c>
      <c r="L379" s="7"/>
      <c r="N379" s="2" t="str">
        <f t="shared" si="1"/>
        <v>Sales</v>
      </c>
      <c r="O379" s="6">
        <f>IFERROR(__xludf.DUMMYFUNCTION("IFERROR(
  IF(LEN(TRIM(B379))=6,
    DATE(2000+VALUE(RIGHT(TRIM(B379),2)),MATCH(LEFT(TRIM(B379),3),{""Jan"",""Feb"",""Mar"",""Apr"",""May"",""Jun"",""Jul"",""Aug"",""Sep"",""Oct"",""Nov"",""Dec""},0),15),
  IF(REGEXMATCH(TRIM(B379),""^\d{2}[/-]\d{2}[/-]\d"&amp;"{4}$""),
    DATE(VALUE(RIGHT(TRIM(B379),4)),VALUE(MID(TRIM(B379),4,2)),VALUE(LEFT(TRIM(B379),2))),
  DATEVALUE(TRIM(B379)))),
""CHECK"")"),45528.0)</f>
        <v>45528</v>
      </c>
      <c r="R379" s="2" t="str">
        <f t="shared" si="2"/>
        <v>Aug</v>
      </c>
      <c r="S379" s="2" t="str">
        <f t="shared" si="3"/>
        <v>Q3</v>
      </c>
      <c r="T379" s="2">
        <f t="shared" si="4"/>
        <v>19485.51</v>
      </c>
    </row>
    <row r="380">
      <c r="A380" s="10" t="s">
        <v>910</v>
      </c>
      <c r="B380" s="5" t="s">
        <v>911</v>
      </c>
      <c r="C380" s="5" t="s">
        <v>34</v>
      </c>
      <c r="D380" s="5" t="s">
        <v>111</v>
      </c>
      <c r="E380" s="5" t="s">
        <v>24</v>
      </c>
      <c r="F380" s="5" t="s">
        <v>230</v>
      </c>
      <c r="G380" s="5">
        <v>7932.02</v>
      </c>
      <c r="H380" s="5" t="s">
        <v>26</v>
      </c>
      <c r="I380" s="5" t="s">
        <v>231</v>
      </c>
      <c r="J380" s="5" t="s">
        <v>108</v>
      </c>
      <c r="K380" s="5" t="s">
        <v>59</v>
      </c>
      <c r="L380" s="5"/>
      <c r="N380" s="2" t="str">
        <f t="shared" si="1"/>
        <v>Sales</v>
      </c>
      <c r="O380" s="6">
        <f>IFERROR(__xludf.DUMMYFUNCTION("IFERROR(
  IF(LEN(TRIM(B380))=6,
    DATE(2000+VALUE(RIGHT(TRIM(B380),2)),MATCH(LEFT(TRIM(B380),3),{""Jan"",""Feb"",""Mar"",""Apr"",""May"",""Jun"",""Jul"",""Aug"",""Sep"",""Oct"",""Nov"",""Dec""},0),15),
  IF(REGEXMATCH(TRIM(B380),""^\d{2}[/-]\d{2}[/-]\d"&amp;"{4}$""),
    DATE(VALUE(RIGHT(TRIM(B380),4)),VALUE(MID(TRIM(B380),4,2)),VALUE(LEFT(TRIM(B380),2))),
  DATEVALUE(TRIM(B380)))),
""CHECK"")"),45514.0)</f>
        <v>45514</v>
      </c>
      <c r="R380" s="2" t="str">
        <f t="shared" si="2"/>
        <v>Aug</v>
      </c>
      <c r="S380" s="2" t="str">
        <f t="shared" si="3"/>
        <v>Q3</v>
      </c>
      <c r="T380" s="2">
        <f t="shared" si="4"/>
        <v>7932.02</v>
      </c>
    </row>
    <row r="381">
      <c r="A381" s="9" t="s">
        <v>912</v>
      </c>
      <c r="B381" s="7" t="s">
        <v>913</v>
      </c>
      <c r="C381" s="7" t="s">
        <v>34</v>
      </c>
      <c r="D381" s="7" t="s">
        <v>111</v>
      </c>
      <c r="E381" s="7" t="s">
        <v>24</v>
      </c>
      <c r="F381" s="7" t="s">
        <v>914</v>
      </c>
      <c r="G381" s="7">
        <v>13859.5</v>
      </c>
      <c r="H381" s="7" t="s">
        <v>26</v>
      </c>
      <c r="I381" s="7" t="s">
        <v>231</v>
      </c>
      <c r="J381" s="7" t="s">
        <v>108</v>
      </c>
      <c r="K381" s="7" t="s">
        <v>59</v>
      </c>
      <c r="L381" s="7"/>
      <c r="N381" s="2" t="str">
        <f t="shared" si="1"/>
        <v>Sales</v>
      </c>
      <c r="O381" s="6">
        <f>IFERROR(__xludf.DUMMYFUNCTION("IFERROR(
  IF(LEN(TRIM(B381))=6,
    DATE(2000+VALUE(RIGHT(TRIM(B381),2)),MATCH(LEFT(TRIM(B381),3),{""Jan"",""Feb"",""Mar"",""Apr"",""May"",""Jun"",""Jul"",""Aug"",""Sep"",""Oct"",""Nov"",""Dec""},0),15),
  IF(REGEXMATCH(TRIM(B381),""^\d{2}[/-]\d{2}[/-]\d"&amp;"{4}$""),
    DATE(VALUE(RIGHT(TRIM(B381),4)),VALUE(MID(TRIM(B381),4,2)),VALUE(LEFT(TRIM(B381),2))),
  DATEVALUE(TRIM(B381)))),
""CHECK"")"),45532.0)</f>
        <v>45532</v>
      </c>
      <c r="R381" s="2" t="str">
        <f t="shared" si="2"/>
        <v>Aug</v>
      </c>
      <c r="S381" s="2" t="str">
        <f t="shared" si="3"/>
        <v>Q3</v>
      </c>
      <c r="T381" s="2">
        <f t="shared" si="4"/>
        <v>13859.5</v>
      </c>
    </row>
    <row r="382">
      <c r="A382" s="10" t="s">
        <v>915</v>
      </c>
      <c r="B382" s="5" t="s">
        <v>916</v>
      </c>
      <c r="C382" s="5" t="s">
        <v>34</v>
      </c>
      <c r="D382" s="5" t="s">
        <v>111</v>
      </c>
      <c r="E382" s="5" t="s">
        <v>111</v>
      </c>
      <c r="F382" s="5" t="s">
        <v>432</v>
      </c>
      <c r="G382" s="5">
        <v>12370.87</v>
      </c>
      <c r="H382" s="5" t="s">
        <v>26</v>
      </c>
      <c r="I382" s="5" t="s">
        <v>57</v>
      </c>
      <c r="J382" s="5" t="s">
        <v>28</v>
      </c>
      <c r="K382" s="5" t="s">
        <v>29</v>
      </c>
      <c r="L382" s="5"/>
      <c r="N382" s="2" t="str">
        <f t="shared" si="1"/>
        <v>Sales</v>
      </c>
      <c r="O382" s="6">
        <f>IFERROR(__xludf.DUMMYFUNCTION("IFERROR(
  IF(LEN(TRIM(B382))=6,
    DATE(2000+VALUE(RIGHT(TRIM(B382),2)),MATCH(LEFT(TRIM(B382),3),{""Jan"",""Feb"",""Mar"",""Apr"",""May"",""Jun"",""Jul"",""Aug"",""Sep"",""Oct"",""Nov"",""Dec""},0),15),
  IF(REGEXMATCH(TRIM(B382),""^\d{2}[/-]\d{2}[/-]\d"&amp;"{4}$""),
    DATE(VALUE(RIGHT(TRIM(B382),4)),VALUE(MID(TRIM(B382),4,2)),VALUE(LEFT(TRIM(B382),2))),
  DATEVALUE(TRIM(B382)))),
""CHECK"")"),45313.0)</f>
        <v>45313</v>
      </c>
      <c r="R382" s="2" t="str">
        <f t="shared" si="2"/>
        <v>Jan</v>
      </c>
      <c r="S382" s="2" t="str">
        <f t="shared" si="3"/>
        <v>Q1</v>
      </c>
      <c r="T382" s="2">
        <f t="shared" si="4"/>
        <v>12370.87</v>
      </c>
    </row>
    <row r="383">
      <c r="A383" s="9" t="s">
        <v>917</v>
      </c>
      <c r="B383" s="7" t="s">
        <v>918</v>
      </c>
      <c r="C383" s="7" t="s">
        <v>34</v>
      </c>
      <c r="D383" s="7" t="s">
        <v>90</v>
      </c>
      <c r="E383" s="7" t="s">
        <v>114</v>
      </c>
      <c r="F383" s="7" t="s">
        <v>919</v>
      </c>
      <c r="G383" s="7">
        <v>9563.6</v>
      </c>
      <c r="H383" s="7" t="s">
        <v>26</v>
      </c>
      <c r="I383" s="7" t="s">
        <v>103</v>
      </c>
      <c r="J383" s="7" t="s">
        <v>38</v>
      </c>
      <c r="K383" s="7" t="s">
        <v>39</v>
      </c>
      <c r="L383" s="7"/>
      <c r="N383" s="2" t="str">
        <f t="shared" si="1"/>
        <v>G&amp;A</v>
      </c>
      <c r="O383" s="6">
        <f>IFERROR(__xludf.DUMMYFUNCTION("IFERROR(
  IF(LEN(TRIM(B383))=6,
    DATE(2000+VALUE(RIGHT(TRIM(B383),2)),MATCH(LEFT(TRIM(B383),3),{""Jan"",""Feb"",""Mar"",""Apr"",""May"",""Jun"",""Jul"",""Aug"",""Sep"",""Oct"",""Nov"",""Dec""},0),15),
  IF(REGEXMATCH(TRIM(B383),""^\d{2}[/-]\d{2}[/-]\d"&amp;"{4}$""),
    DATE(VALUE(RIGHT(TRIM(B383),4)),VALUE(MID(TRIM(B383),4,2)),VALUE(LEFT(TRIM(B383),2))),
  DATEVALUE(TRIM(B383)))),
""CHECK"")"),45655.0)</f>
        <v>45655</v>
      </c>
      <c r="R383" s="2" t="str">
        <f t="shared" si="2"/>
        <v>Dec</v>
      </c>
      <c r="S383" s="2" t="str">
        <f t="shared" si="3"/>
        <v>Q4</v>
      </c>
      <c r="T383" s="2">
        <f t="shared" si="4"/>
        <v>9563.6</v>
      </c>
    </row>
    <row r="384">
      <c r="A384" s="10" t="s">
        <v>920</v>
      </c>
      <c r="B384" s="5" t="s">
        <v>332</v>
      </c>
      <c r="C384" s="5" t="s">
        <v>34</v>
      </c>
      <c r="D384" s="5" t="s">
        <v>54</v>
      </c>
      <c r="E384" s="5" t="s">
        <v>130</v>
      </c>
      <c r="F384" s="5" t="s">
        <v>177</v>
      </c>
      <c r="G384" s="5">
        <v>55900.99</v>
      </c>
      <c r="H384" s="5" t="s">
        <v>26</v>
      </c>
      <c r="I384" s="5" t="s">
        <v>93</v>
      </c>
      <c r="J384" s="5" t="s">
        <v>113</v>
      </c>
      <c r="K384" s="5" t="s">
        <v>67</v>
      </c>
      <c r="L384" s="5"/>
      <c r="N384" s="2" t="str">
        <f t="shared" si="1"/>
        <v>Marketing</v>
      </c>
      <c r="O384" s="6">
        <f>IFERROR(__xludf.DUMMYFUNCTION("IFERROR(
  IF(LEN(TRIM(B384))=6,
    DATE(2000+VALUE(RIGHT(TRIM(B384),2)),MATCH(LEFT(TRIM(B384),3),{""Jan"",""Feb"",""Mar"",""Apr"",""May"",""Jun"",""Jul"",""Aug"",""Sep"",""Oct"",""Nov"",""Dec""},0),15),
  IF(REGEXMATCH(TRIM(B384),""^\d{2}[/-]\d{2}[/-]\d"&amp;"{4}$""),
    DATE(VALUE(RIGHT(TRIM(B384),4)),VALUE(MID(TRIM(B384),4,2)),VALUE(LEFT(TRIM(B384),2))),
  DATEVALUE(TRIM(B384)))),
""CHECK"")"),45458.0)</f>
        <v>45458</v>
      </c>
      <c r="R384" s="2" t="str">
        <f t="shared" si="2"/>
        <v>Jun</v>
      </c>
      <c r="S384" s="2" t="str">
        <f t="shared" si="3"/>
        <v>Q2</v>
      </c>
      <c r="T384" s="2">
        <f t="shared" si="4"/>
        <v>55900.99</v>
      </c>
    </row>
    <row r="385">
      <c r="A385" s="9" t="s">
        <v>921</v>
      </c>
      <c r="B385" s="7" t="s">
        <v>922</v>
      </c>
      <c r="C385" s="7" t="s">
        <v>34</v>
      </c>
      <c r="D385" s="7" t="s">
        <v>54</v>
      </c>
      <c r="E385" s="7" t="s">
        <v>196</v>
      </c>
      <c r="F385" s="7" t="s">
        <v>236</v>
      </c>
      <c r="G385" s="7">
        <v>24503.39</v>
      </c>
      <c r="H385" s="7" t="s">
        <v>26</v>
      </c>
      <c r="I385" s="7" t="s">
        <v>237</v>
      </c>
      <c r="J385" s="7" t="s">
        <v>66</v>
      </c>
      <c r="K385" s="7" t="s">
        <v>67</v>
      </c>
      <c r="L385" s="7"/>
      <c r="N385" s="2" t="str">
        <f t="shared" si="1"/>
        <v>Marketing</v>
      </c>
      <c r="O385" s="6">
        <f>IFERROR(__xludf.DUMMYFUNCTION("IFERROR(
  IF(LEN(TRIM(B385))=6,
    DATE(2000+VALUE(RIGHT(TRIM(B385),2)),MATCH(LEFT(TRIM(B385),3),{""Jan"",""Feb"",""Mar"",""Apr"",""May"",""Jun"",""Jul"",""Aug"",""Sep"",""Oct"",""Nov"",""Dec""},0),15),
  IF(REGEXMATCH(TRIM(B385),""^\d{2}[/-]\d{2}[/-]\d"&amp;"{4}$""),
    DATE(VALUE(RIGHT(TRIM(B385),4)),VALUE(MID(TRIM(B385),4,2)),VALUE(LEFT(TRIM(B385),2))),
  DATEVALUE(TRIM(B385)))),
""CHECK"")"),45389.0)</f>
        <v>45389</v>
      </c>
      <c r="R385" s="2" t="str">
        <f t="shared" si="2"/>
        <v>Apr</v>
      </c>
      <c r="S385" s="2" t="str">
        <f t="shared" si="3"/>
        <v>Q2</v>
      </c>
      <c r="T385" s="2">
        <f t="shared" si="4"/>
        <v>24503.39</v>
      </c>
    </row>
    <row r="386">
      <c r="A386" s="10" t="s">
        <v>923</v>
      </c>
      <c r="B386" s="5" t="s">
        <v>924</v>
      </c>
      <c r="C386" s="5" t="s">
        <v>34</v>
      </c>
      <c r="D386" s="5" t="s">
        <v>54</v>
      </c>
      <c r="E386" s="5" t="s">
        <v>196</v>
      </c>
      <c r="F386" s="5" t="s">
        <v>338</v>
      </c>
      <c r="G386" s="5">
        <v>22418.56</v>
      </c>
      <c r="H386" s="5" t="s">
        <v>26</v>
      </c>
      <c r="I386" s="5" t="s">
        <v>141</v>
      </c>
      <c r="J386" s="5" t="s">
        <v>66</v>
      </c>
      <c r="K386" s="5" t="s">
        <v>67</v>
      </c>
      <c r="L386" s="5"/>
      <c r="N386" s="2" t="str">
        <f t="shared" si="1"/>
        <v>Marketing</v>
      </c>
      <c r="O386" s="6">
        <f>IFERROR(__xludf.DUMMYFUNCTION("IFERROR(
  IF(LEN(TRIM(B386))=6,
    DATE(2000+VALUE(RIGHT(TRIM(B386),2)),MATCH(LEFT(TRIM(B386),3),{""Jan"",""Feb"",""Mar"",""Apr"",""May"",""Jun"",""Jul"",""Aug"",""Sep"",""Oct"",""Nov"",""Dec""},0),15),
  IF(REGEXMATCH(TRIM(B386),""^\d{2}[/-]\d{2}[/-]\d"&amp;"{4}$""),
    DATE(VALUE(RIGHT(TRIM(B386),4)),VALUE(MID(TRIM(B386),4,2)),VALUE(LEFT(TRIM(B386),2))),
  DATEVALUE(TRIM(B386)))),
""CHECK"")"),45385.0)</f>
        <v>45385</v>
      </c>
      <c r="R386" s="2" t="str">
        <f t="shared" si="2"/>
        <v>Apr</v>
      </c>
      <c r="S386" s="2" t="str">
        <f t="shared" si="3"/>
        <v>Q2</v>
      </c>
      <c r="T386" s="2">
        <f t="shared" si="4"/>
        <v>22418.56</v>
      </c>
    </row>
    <row r="387">
      <c r="A387" s="9" t="s">
        <v>925</v>
      </c>
      <c r="B387" s="7" t="s">
        <v>926</v>
      </c>
      <c r="C387" s="7" t="s">
        <v>22</v>
      </c>
      <c r="D387" s="7" t="s">
        <v>62</v>
      </c>
      <c r="E387" s="7" t="s">
        <v>111</v>
      </c>
      <c r="F387" s="7" t="s">
        <v>221</v>
      </c>
      <c r="G387" s="7">
        <v>7246.32</v>
      </c>
      <c r="H387" s="7" t="s">
        <v>26</v>
      </c>
      <c r="I387" s="7" t="s">
        <v>43</v>
      </c>
      <c r="J387" s="7"/>
      <c r="K387" s="7"/>
      <c r="L387" s="7"/>
      <c r="N387" s="2" t="str">
        <f t="shared" si="1"/>
        <v>Sales</v>
      </c>
      <c r="O387" s="6">
        <f>IFERROR(__xludf.DUMMYFUNCTION("IFERROR(
  IF(LEN(TRIM(B387))=6,
    DATE(2000+VALUE(RIGHT(TRIM(B387),2)),MATCH(LEFT(TRIM(B387),3),{""Jan"",""Feb"",""Mar"",""Apr"",""May"",""Jun"",""Jul"",""Aug"",""Sep"",""Oct"",""Nov"",""Dec""},0),15),
  IF(REGEXMATCH(TRIM(B387),""^\d{2}[/-]\d{2}[/-]\d"&amp;"{4}$""),
    DATE(VALUE(RIGHT(TRIM(B387),4)),VALUE(MID(TRIM(B387),4,2)),VALUE(LEFT(TRIM(B387),2))),
  DATEVALUE(TRIM(B387)))),
""CHECK"")"),45376.0)</f>
        <v>45376</v>
      </c>
      <c r="R387" s="2" t="str">
        <f t="shared" si="2"/>
        <v>Mar</v>
      </c>
      <c r="S387" s="2" t="str">
        <f t="shared" si="3"/>
        <v>Q1</v>
      </c>
      <c r="T387" s="2">
        <f t="shared" si="4"/>
        <v>7246.32</v>
      </c>
    </row>
    <row r="388">
      <c r="A388" s="10" t="s">
        <v>927</v>
      </c>
      <c r="B388" s="5" t="s">
        <v>928</v>
      </c>
      <c r="C388" s="5" t="s">
        <v>34</v>
      </c>
      <c r="D388" s="5" t="s">
        <v>51</v>
      </c>
      <c r="E388" s="5" t="s">
        <v>50</v>
      </c>
      <c r="F388" s="5" t="s">
        <v>511</v>
      </c>
      <c r="G388" s="5">
        <v>23418.92</v>
      </c>
      <c r="H388" s="5" t="s">
        <v>26</v>
      </c>
      <c r="I388" s="5" t="s">
        <v>394</v>
      </c>
      <c r="J388" s="5" t="s">
        <v>44</v>
      </c>
      <c r="K388" s="5" t="s">
        <v>29</v>
      </c>
      <c r="L388" s="5"/>
      <c r="N388" s="2" t="str">
        <f t="shared" si="1"/>
        <v>Customer Success</v>
      </c>
      <c r="O388" s="6">
        <f>IFERROR(__xludf.DUMMYFUNCTION("IFERROR(
  IF(LEN(TRIM(B388))=6,
    DATE(2000+VALUE(RIGHT(TRIM(B388),2)),MATCH(LEFT(TRIM(B388),3),{""Jan"",""Feb"",""Mar"",""Apr"",""May"",""Jun"",""Jul"",""Aug"",""Sep"",""Oct"",""Nov"",""Dec""},0),15),
  IF(REGEXMATCH(TRIM(B388),""^\d{2}[/-]\d{2}[/-]\d"&amp;"{4}$""),
    DATE(VALUE(RIGHT(TRIM(B388),4)),VALUE(MID(TRIM(B388),4,2)),VALUE(LEFT(TRIM(B388),2))),
  DATEVALUE(TRIM(B388)))),
""CHECK"")"),45367.0)</f>
        <v>45367</v>
      </c>
      <c r="R388" s="2" t="str">
        <f t="shared" si="2"/>
        <v>Mar</v>
      </c>
      <c r="S388" s="2" t="str">
        <f t="shared" si="3"/>
        <v>Q1</v>
      </c>
      <c r="T388" s="2">
        <f t="shared" si="4"/>
        <v>23418.92</v>
      </c>
    </row>
    <row r="389">
      <c r="A389" s="9" t="s">
        <v>929</v>
      </c>
      <c r="B389" s="7" t="s">
        <v>295</v>
      </c>
      <c r="C389" s="7" t="s">
        <v>34</v>
      </c>
      <c r="D389" s="7" t="s">
        <v>111</v>
      </c>
      <c r="E389" s="7" t="s">
        <v>111</v>
      </c>
      <c r="F389" s="7" t="s">
        <v>102</v>
      </c>
      <c r="G389" s="7">
        <v>28699.41</v>
      </c>
      <c r="H389" s="7" t="s">
        <v>26</v>
      </c>
      <c r="I389" s="7" t="s">
        <v>103</v>
      </c>
      <c r="J389" s="7" t="s">
        <v>87</v>
      </c>
      <c r="K389" s="7" t="s">
        <v>67</v>
      </c>
      <c r="L389" s="7"/>
      <c r="N389" s="2" t="str">
        <f t="shared" si="1"/>
        <v>Sales</v>
      </c>
      <c r="O389" s="6">
        <f>IFERROR(__xludf.DUMMYFUNCTION("IFERROR(
  IF(LEN(TRIM(B389))=6,
    DATE(2000+VALUE(RIGHT(TRIM(B389),2)),MATCH(LEFT(TRIM(B389),3),{""Jan"",""Feb"",""Mar"",""Apr"",""May"",""Jun"",""Jul"",""Aug"",""Sep"",""Oct"",""Nov"",""Dec""},0),15),
  IF(REGEXMATCH(TRIM(B389),""^\d{2}[/-]\d{2}[/-]\d"&amp;"{4}$""),
    DATE(VALUE(RIGHT(TRIM(B389),4)),VALUE(MID(TRIM(B389),4,2)),VALUE(LEFT(TRIM(B389),2))),
  DATEVALUE(TRIM(B389)))),
""CHECK"")"),45427.0)</f>
        <v>45427</v>
      </c>
      <c r="R389" s="2" t="str">
        <f t="shared" si="2"/>
        <v>May</v>
      </c>
      <c r="S389" s="2" t="str">
        <f t="shared" si="3"/>
        <v>Q2</v>
      </c>
      <c r="T389" s="2">
        <f t="shared" si="4"/>
        <v>28699.41</v>
      </c>
    </row>
    <row r="390">
      <c r="A390" s="10" t="s">
        <v>930</v>
      </c>
      <c r="B390" s="5" t="s">
        <v>101</v>
      </c>
      <c r="C390" s="5" t="s">
        <v>22</v>
      </c>
      <c r="D390" s="5" t="s">
        <v>85</v>
      </c>
      <c r="E390" s="5" t="s">
        <v>24</v>
      </c>
      <c r="F390" s="5" t="s">
        <v>250</v>
      </c>
      <c r="G390" s="5">
        <v>15114.36</v>
      </c>
      <c r="H390" s="5" t="s">
        <v>26</v>
      </c>
      <c r="I390" s="5" t="s">
        <v>129</v>
      </c>
      <c r="J390" s="5" t="s">
        <v>44</v>
      </c>
      <c r="K390" s="5" t="s">
        <v>29</v>
      </c>
      <c r="L390" s="5"/>
      <c r="N390" s="2" t="str">
        <f t="shared" si="1"/>
        <v>Sales</v>
      </c>
      <c r="O390" s="6">
        <f>IFERROR(__xludf.DUMMYFUNCTION("IFERROR(
  IF(LEN(TRIM(B390))=6,
    DATE(2000+VALUE(RIGHT(TRIM(B390),2)),MATCH(LEFT(TRIM(B390),3),{""Jan"",""Feb"",""Mar"",""Apr"",""May"",""Jun"",""Jul"",""Aug"",""Sep"",""Oct"",""Nov"",""Dec""},0),15),
  IF(REGEXMATCH(TRIM(B390),""^\d{2}[/-]\d{2}[/-]\d"&amp;"{4}$""),
    DATE(VALUE(RIGHT(TRIM(B390),4)),VALUE(MID(TRIM(B390),4,2)),VALUE(LEFT(TRIM(B390),2))),
  DATEVALUE(TRIM(B390)))),
""CHECK"")"),45366.0)</f>
        <v>45366</v>
      </c>
      <c r="R390" s="2" t="str">
        <f t="shared" si="2"/>
        <v>Mar</v>
      </c>
      <c r="S390" s="2" t="str">
        <f t="shared" si="3"/>
        <v>Q1</v>
      </c>
      <c r="T390" s="2">
        <f t="shared" si="4"/>
        <v>15114.36</v>
      </c>
    </row>
    <row r="391">
      <c r="A391" s="9" t="s">
        <v>931</v>
      </c>
      <c r="B391" s="7" t="s">
        <v>280</v>
      </c>
      <c r="C391" s="7" t="s">
        <v>22</v>
      </c>
      <c r="D391" s="7" t="s">
        <v>62</v>
      </c>
      <c r="E391" s="7" t="s">
        <v>111</v>
      </c>
      <c r="F391" s="7" t="s">
        <v>370</v>
      </c>
      <c r="G391" s="7">
        <v>5219.21</v>
      </c>
      <c r="H391" s="7" t="s">
        <v>26</v>
      </c>
      <c r="I391" s="7" t="s">
        <v>72</v>
      </c>
      <c r="J391" s="7" t="s">
        <v>113</v>
      </c>
      <c r="K391" s="7" t="s">
        <v>67</v>
      </c>
      <c r="L391" s="7"/>
      <c r="N391" s="2" t="str">
        <f t="shared" si="1"/>
        <v>Sales</v>
      </c>
      <c r="O391" s="6">
        <f>IFERROR(__xludf.DUMMYFUNCTION("IFERROR(
  IF(LEN(TRIM(B391))=6,
    DATE(2000+VALUE(RIGHT(TRIM(B391),2)),MATCH(LEFT(TRIM(B391),3),{""Jan"",""Feb"",""Mar"",""Apr"",""May"",""Jun"",""Jul"",""Aug"",""Sep"",""Oct"",""Nov"",""Dec""},0),15),
  IF(REGEXMATCH(TRIM(B391),""^\d{2}[/-]\d{2}[/-]\d"&amp;"{4}$""),
    DATE(VALUE(RIGHT(TRIM(B391),4)),VALUE(MID(TRIM(B391),4,2)),VALUE(LEFT(TRIM(B391),2))),
  DATEVALUE(TRIM(B391)))),
""CHECK"")"),45457.0)</f>
        <v>45457</v>
      </c>
      <c r="R391" s="2" t="str">
        <f t="shared" si="2"/>
        <v>Jun</v>
      </c>
      <c r="S391" s="2" t="str">
        <f t="shared" si="3"/>
        <v>Q2</v>
      </c>
      <c r="T391" s="2">
        <f t="shared" si="4"/>
        <v>5219.21</v>
      </c>
    </row>
    <row r="392">
      <c r="A392" s="10" t="s">
        <v>932</v>
      </c>
      <c r="B392" s="5" t="s">
        <v>933</v>
      </c>
      <c r="C392" s="5" t="s">
        <v>22</v>
      </c>
      <c r="D392" s="5" t="s">
        <v>85</v>
      </c>
      <c r="E392" s="5" t="s">
        <v>63</v>
      </c>
      <c r="F392" s="5" t="s">
        <v>253</v>
      </c>
      <c r="G392" s="5">
        <v>26621.42</v>
      </c>
      <c r="H392" s="5" t="s">
        <v>26</v>
      </c>
      <c r="I392" s="5" t="s">
        <v>65</v>
      </c>
      <c r="J392" s="5" t="s">
        <v>73</v>
      </c>
      <c r="K392" s="5" t="s">
        <v>59</v>
      </c>
      <c r="L392" s="5"/>
      <c r="N392" s="2" t="str">
        <f t="shared" si="1"/>
        <v>Sales</v>
      </c>
      <c r="O392" s="6">
        <f>IFERROR(__xludf.DUMMYFUNCTION("IFERROR(
  IF(LEN(TRIM(B392))=6,
    DATE(2000+VALUE(RIGHT(TRIM(B392),2)),MATCH(LEFT(TRIM(B392),3),{""Jan"",""Feb"",""Mar"",""Apr"",""May"",""Jun"",""Jul"",""Aug"",""Sep"",""Oct"",""Nov"",""Dec""},0),15),
  IF(REGEXMATCH(TRIM(B392),""^\d{2}[/-]\d{2}[/-]\d"&amp;"{4}$""),
    DATE(VALUE(RIGHT(TRIM(B392),4)),VALUE(MID(TRIM(B392),4,2)),VALUE(LEFT(TRIM(B392),2))),
  DATEVALUE(TRIM(B392)))),
""CHECK"")"),45557.0)</f>
        <v>45557</v>
      </c>
      <c r="R392" s="2" t="str">
        <f t="shared" si="2"/>
        <v>Sep</v>
      </c>
      <c r="S392" s="2" t="str">
        <f t="shared" si="3"/>
        <v>Q3</v>
      </c>
      <c r="T392" s="2">
        <f t="shared" si="4"/>
        <v>26621.42</v>
      </c>
    </row>
    <row r="393">
      <c r="A393" s="9" t="s">
        <v>934</v>
      </c>
      <c r="B393" s="7" t="s">
        <v>935</v>
      </c>
      <c r="C393" s="7" t="s">
        <v>34</v>
      </c>
      <c r="D393" s="7" t="s">
        <v>51</v>
      </c>
      <c r="E393" s="7" t="s">
        <v>74</v>
      </c>
      <c r="F393" s="7" t="s">
        <v>441</v>
      </c>
      <c r="G393" s="7">
        <v>10885.03</v>
      </c>
      <c r="H393" s="7" t="s">
        <v>26</v>
      </c>
      <c r="I393" s="7" t="s">
        <v>48</v>
      </c>
      <c r="J393" s="7" t="s">
        <v>87</v>
      </c>
      <c r="K393" s="7" t="s">
        <v>67</v>
      </c>
      <c r="L393" s="7"/>
      <c r="N393" s="2" t="str">
        <f t="shared" si="1"/>
        <v>Customer Success</v>
      </c>
      <c r="O393" s="6">
        <f>IFERROR(__xludf.DUMMYFUNCTION("IFERROR(
  IF(LEN(TRIM(B393))=6,
    DATE(2000+VALUE(RIGHT(TRIM(B393),2)),MATCH(LEFT(TRIM(B393),3),{""Jan"",""Feb"",""Mar"",""Apr"",""May"",""Jun"",""Jul"",""Aug"",""Sep"",""Oct"",""Nov"",""Dec""},0),15),
  IF(REGEXMATCH(TRIM(B393),""^\d{2}[/-]\d{2}[/-]\d"&amp;"{4}$""),
    DATE(VALUE(RIGHT(TRIM(B393),4)),VALUE(MID(TRIM(B393),4,2)),VALUE(LEFT(TRIM(B393),2))),
  DATEVALUE(TRIM(B393)))),
""CHECK"")"),45424.0)</f>
        <v>45424</v>
      </c>
      <c r="R393" s="2" t="str">
        <f t="shared" si="2"/>
        <v>May</v>
      </c>
      <c r="S393" s="2" t="str">
        <f t="shared" si="3"/>
        <v>Q2</v>
      </c>
      <c r="T393" s="2">
        <f t="shared" si="4"/>
        <v>10885.03</v>
      </c>
    </row>
    <row r="394">
      <c r="A394" s="10" t="s">
        <v>936</v>
      </c>
      <c r="B394" s="5" t="s">
        <v>937</v>
      </c>
      <c r="C394" s="5" t="s">
        <v>22</v>
      </c>
      <c r="D394" s="5" t="s">
        <v>85</v>
      </c>
      <c r="E394" s="5" t="s">
        <v>63</v>
      </c>
      <c r="F394" s="5" t="s">
        <v>301</v>
      </c>
      <c r="G394" s="5">
        <v>12123.24</v>
      </c>
      <c r="H394" s="5" t="s">
        <v>26</v>
      </c>
      <c r="I394" s="5" t="s">
        <v>137</v>
      </c>
      <c r="J394" s="5" t="s">
        <v>142</v>
      </c>
      <c r="K394" s="5" t="s">
        <v>39</v>
      </c>
      <c r="L394" s="5"/>
      <c r="N394" s="2" t="str">
        <f t="shared" si="1"/>
        <v>Sales</v>
      </c>
      <c r="O394" s="6">
        <f>IFERROR(__xludf.DUMMYFUNCTION("IFERROR(
  IF(LEN(TRIM(B394))=6,
    DATE(2000+VALUE(RIGHT(TRIM(B394),2)),MATCH(LEFT(TRIM(B394),3),{""Jan"",""Feb"",""Mar"",""Apr"",""May"",""Jun"",""Jul"",""Aug"",""Sep"",""Oct"",""Nov"",""Dec""},0),15),
  IF(REGEXMATCH(TRIM(B394),""^\d{2}[/-]\d{2}[/-]\d"&amp;"{4}$""),
    DATE(VALUE(RIGHT(TRIM(B394),4)),VALUE(MID(TRIM(B394),4,2)),VALUE(LEFT(TRIM(B394),2))),
  DATEVALUE(TRIM(B394)))),
""CHECK"")"),45613.0)</f>
        <v>45613</v>
      </c>
      <c r="R394" s="2" t="str">
        <f t="shared" si="2"/>
        <v>Nov</v>
      </c>
      <c r="S394" s="2" t="str">
        <f t="shared" si="3"/>
        <v>Q4</v>
      </c>
      <c r="T394" s="2">
        <f t="shared" si="4"/>
        <v>12123.24</v>
      </c>
    </row>
    <row r="395">
      <c r="A395" s="9" t="s">
        <v>938</v>
      </c>
      <c r="B395" s="7" t="s">
        <v>939</v>
      </c>
      <c r="C395" s="7" t="s">
        <v>22</v>
      </c>
      <c r="D395" s="7" t="s">
        <v>23</v>
      </c>
      <c r="E395" s="7" t="s">
        <v>97</v>
      </c>
      <c r="F395" s="7" t="s">
        <v>940</v>
      </c>
      <c r="G395" s="7">
        <v>117310.86</v>
      </c>
      <c r="H395" s="7" t="s">
        <v>26</v>
      </c>
      <c r="I395" s="7" t="s">
        <v>27</v>
      </c>
      <c r="J395" s="7" t="s">
        <v>58</v>
      </c>
      <c r="K395" s="7" t="s">
        <v>59</v>
      </c>
      <c r="L395" s="7"/>
      <c r="N395" s="2" t="str">
        <f t="shared" si="1"/>
        <v>Sales</v>
      </c>
      <c r="O395" s="6">
        <f>IFERROR(__xludf.DUMMYFUNCTION("IFERROR(
  IF(LEN(TRIM(B395))=6,
    DATE(2000+VALUE(RIGHT(TRIM(B395),2)),MATCH(LEFT(TRIM(B395),3),{""Jan"",""Feb"",""Mar"",""Apr"",""May"",""Jun"",""Jul"",""Aug"",""Sep"",""Oct"",""Nov"",""Dec""},0),15),
  IF(REGEXMATCH(TRIM(B395),""^\d{2}[/-]\d{2}[/-]\d"&amp;"{4}$""),
    DATE(VALUE(RIGHT(TRIM(B395),4)),VALUE(MID(TRIM(B395),4,2)),VALUE(LEFT(TRIM(B395),2))),
  DATEVALUE(TRIM(B395)))),
""CHECK"")"),45488.0)</f>
        <v>45488</v>
      </c>
      <c r="R395" s="2" t="str">
        <f t="shared" si="2"/>
        <v>Jul</v>
      </c>
      <c r="S395" s="2" t="str">
        <f t="shared" si="3"/>
        <v>Q3</v>
      </c>
      <c r="T395" s="2">
        <f t="shared" si="4"/>
        <v>117310.86</v>
      </c>
    </row>
    <row r="396">
      <c r="A396" s="10" t="s">
        <v>941</v>
      </c>
      <c r="B396" s="5" t="s">
        <v>942</v>
      </c>
      <c r="C396" s="5" t="s">
        <v>22</v>
      </c>
      <c r="D396" s="5" t="s">
        <v>62</v>
      </c>
      <c r="E396" s="5" t="s">
        <v>63</v>
      </c>
      <c r="F396" s="5" t="s">
        <v>98</v>
      </c>
      <c r="G396" s="5">
        <v>11152.72</v>
      </c>
      <c r="H396" s="5" t="s">
        <v>26</v>
      </c>
      <c r="I396" s="5" t="s">
        <v>134</v>
      </c>
      <c r="J396" s="5" t="s">
        <v>142</v>
      </c>
      <c r="K396" s="5" t="s">
        <v>39</v>
      </c>
      <c r="L396" s="5"/>
      <c r="N396" s="2" t="str">
        <f t="shared" si="1"/>
        <v>Sales</v>
      </c>
      <c r="O396" s="6">
        <f>IFERROR(__xludf.DUMMYFUNCTION("IFERROR(
  IF(LEN(TRIM(B396))=6,
    DATE(2000+VALUE(RIGHT(TRIM(B396),2)),MATCH(LEFT(TRIM(B396),3),{""Jan"",""Feb"",""Mar"",""Apr"",""May"",""Jun"",""Jul"",""Aug"",""Sep"",""Oct"",""Nov"",""Dec""},0),15),
  IF(REGEXMATCH(TRIM(B396),""^\d{2}[/-]\d{2}[/-]\d"&amp;"{4}$""),
    DATE(VALUE(RIGHT(TRIM(B396),4)),VALUE(MID(TRIM(B396),4,2)),VALUE(LEFT(TRIM(B396),2))),
  DATEVALUE(TRIM(B396)))),
""CHECK"")"),45608.0)</f>
        <v>45608</v>
      </c>
      <c r="R396" s="2" t="str">
        <f t="shared" si="2"/>
        <v>Nov</v>
      </c>
      <c r="S396" s="2" t="str">
        <f t="shared" si="3"/>
        <v>Q4</v>
      </c>
      <c r="T396" s="2">
        <f t="shared" si="4"/>
        <v>11152.72</v>
      </c>
    </row>
    <row r="397">
      <c r="A397" s="9" t="s">
        <v>943</v>
      </c>
      <c r="B397" s="7" t="s">
        <v>944</v>
      </c>
      <c r="C397" s="7" t="s">
        <v>34</v>
      </c>
      <c r="D397" s="7" t="s">
        <v>82</v>
      </c>
      <c r="E397" s="7" t="s">
        <v>94</v>
      </c>
      <c r="F397" s="7" t="s">
        <v>945</v>
      </c>
      <c r="G397" s="7">
        <v>26371.51</v>
      </c>
      <c r="H397" s="7" t="s">
        <v>26</v>
      </c>
      <c r="I397" s="7" t="s">
        <v>37</v>
      </c>
      <c r="J397" s="7" t="s">
        <v>73</v>
      </c>
      <c r="K397" s="7" t="s">
        <v>59</v>
      </c>
      <c r="L397" s="7"/>
      <c r="N397" s="2" t="str">
        <f t="shared" si="1"/>
        <v>Engineering</v>
      </c>
      <c r="O397" s="6">
        <f>IFERROR(__xludf.DUMMYFUNCTION("IFERROR(
  IF(LEN(TRIM(B397))=6,
    DATE(2000+VALUE(RIGHT(TRIM(B397),2)),MATCH(LEFT(TRIM(B397),3),{""Jan"",""Feb"",""Mar"",""Apr"",""May"",""Jun"",""Jul"",""Aug"",""Sep"",""Oct"",""Nov"",""Dec""},0),15),
  IF(REGEXMATCH(TRIM(B397),""^\d{2}[/-]\d{2}[/-]\d"&amp;"{4}$""),
    DATE(VALUE(RIGHT(TRIM(B397),4)),VALUE(MID(TRIM(B397),4,2)),VALUE(LEFT(TRIM(B397),2))),
  DATEVALUE(TRIM(B397)))),
""CHECK"")"),45561.0)</f>
        <v>45561</v>
      </c>
      <c r="R397" s="2" t="str">
        <f t="shared" si="2"/>
        <v>Sep</v>
      </c>
      <c r="S397" s="2" t="str">
        <f t="shared" si="3"/>
        <v>Q3</v>
      </c>
      <c r="T397" s="2">
        <f t="shared" si="4"/>
        <v>26371.51</v>
      </c>
    </row>
    <row r="398">
      <c r="A398" s="10" t="s">
        <v>946</v>
      </c>
      <c r="B398" s="5" t="s">
        <v>760</v>
      </c>
      <c r="C398" s="5" t="s">
        <v>22</v>
      </c>
      <c r="D398" s="5" t="s">
        <v>62</v>
      </c>
      <c r="E398" s="5" t="s">
        <v>63</v>
      </c>
      <c r="F398" s="5" t="s">
        <v>152</v>
      </c>
      <c r="G398" s="5">
        <v>22455.63</v>
      </c>
      <c r="H398" s="5" t="s">
        <v>26</v>
      </c>
      <c r="I398" s="5" t="s">
        <v>27</v>
      </c>
      <c r="J398" s="5" t="s">
        <v>113</v>
      </c>
      <c r="K398" s="5" t="s">
        <v>67</v>
      </c>
      <c r="L398" s="5"/>
      <c r="N398" s="2" t="str">
        <f t="shared" si="1"/>
        <v>Sales</v>
      </c>
      <c r="O398" s="6">
        <f>IFERROR(__xludf.DUMMYFUNCTION("IFERROR(
  IF(LEN(TRIM(B398))=6,
    DATE(2000+VALUE(RIGHT(TRIM(B398),2)),MATCH(LEFT(TRIM(B398),3),{""Jan"",""Feb"",""Mar"",""Apr"",""May"",""Jun"",""Jul"",""Aug"",""Sep"",""Oct"",""Nov"",""Dec""},0),15),
  IF(REGEXMATCH(TRIM(B398),""^\d{2}[/-]\d{2}[/-]\d"&amp;"{4}$""),
    DATE(VALUE(RIGHT(TRIM(B398),4)),VALUE(MID(TRIM(B398),4,2)),VALUE(LEFT(TRIM(B398),2))),
  DATEVALUE(TRIM(B398)))),
""CHECK"")"),45463.0)</f>
        <v>45463</v>
      </c>
      <c r="R398" s="2" t="str">
        <f t="shared" si="2"/>
        <v>Jun</v>
      </c>
      <c r="S398" s="2" t="str">
        <f t="shared" si="3"/>
        <v>Q2</v>
      </c>
      <c r="T398" s="2">
        <f t="shared" si="4"/>
        <v>22455.63</v>
      </c>
    </row>
    <row r="399">
      <c r="A399" s="9" t="s">
        <v>947</v>
      </c>
      <c r="B399" s="7" t="s">
        <v>737</v>
      </c>
      <c r="C399" s="7" t="s">
        <v>34</v>
      </c>
      <c r="D399" s="7" t="s">
        <v>31</v>
      </c>
      <c r="E399" s="7" t="s">
        <v>77</v>
      </c>
      <c r="F399" s="7" t="s">
        <v>630</v>
      </c>
      <c r="G399" s="7">
        <v>18830.28</v>
      </c>
      <c r="H399" s="7" t="s">
        <v>26</v>
      </c>
      <c r="I399" s="7" t="s">
        <v>231</v>
      </c>
      <c r="J399" s="7" t="s">
        <v>58</v>
      </c>
      <c r="K399" s="7" t="s">
        <v>59</v>
      </c>
      <c r="L399" s="7"/>
      <c r="N399" s="2" t="str">
        <f t="shared" si="1"/>
        <v>Cloud Infrastructure</v>
      </c>
      <c r="O399" s="6">
        <f>IFERROR(__xludf.DUMMYFUNCTION("IFERROR(
  IF(LEN(TRIM(B399))=6,
    DATE(2000+VALUE(RIGHT(TRIM(B399),2)),MATCH(LEFT(TRIM(B399),3),{""Jan"",""Feb"",""Mar"",""Apr"",""May"",""Jun"",""Jul"",""Aug"",""Sep"",""Oct"",""Nov"",""Dec""},0),15),
  IF(REGEXMATCH(TRIM(B399),""^\d{2}[/-]\d{2}[/-]\d"&amp;"{4}$""),
    DATE(VALUE(RIGHT(TRIM(B399),4)),VALUE(MID(TRIM(B399),4,2)),VALUE(LEFT(TRIM(B399),2))),
  DATEVALUE(TRIM(B399)))),
""CHECK"")"),45488.0)</f>
        <v>45488</v>
      </c>
      <c r="R399" s="2" t="str">
        <f t="shared" si="2"/>
        <v>Jul</v>
      </c>
      <c r="S399" s="2" t="str">
        <f t="shared" si="3"/>
        <v>Q3</v>
      </c>
      <c r="T399" s="2">
        <f t="shared" si="4"/>
        <v>18830.28</v>
      </c>
    </row>
    <row r="400">
      <c r="A400" s="10" t="s">
        <v>948</v>
      </c>
      <c r="B400" s="5" t="s">
        <v>949</v>
      </c>
      <c r="C400" s="5" t="s">
        <v>34</v>
      </c>
      <c r="D400" s="5" t="s">
        <v>31</v>
      </c>
      <c r="E400" s="5" t="s">
        <v>31</v>
      </c>
      <c r="F400" s="5" t="s">
        <v>338</v>
      </c>
      <c r="G400" s="5">
        <v>51631.2</v>
      </c>
      <c r="H400" s="5" t="s">
        <v>26</v>
      </c>
      <c r="I400" s="5" t="s">
        <v>141</v>
      </c>
      <c r="J400" s="5" t="s">
        <v>38</v>
      </c>
      <c r="K400" s="5" t="s">
        <v>39</v>
      </c>
      <c r="L400" s="5"/>
      <c r="N400" s="2" t="str">
        <f t="shared" si="1"/>
        <v>Cloud Infrastructure</v>
      </c>
      <c r="O400" s="6">
        <f>IFERROR(__xludf.DUMMYFUNCTION("IFERROR(
  IF(LEN(TRIM(B400))=6,
    DATE(2000+VALUE(RIGHT(TRIM(B400),2)),MATCH(LEFT(TRIM(B400),3),{""Jan"",""Feb"",""Mar"",""Apr"",""May"",""Jun"",""Jul"",""Aug"",""Sep"",""Oct"",""Nov"",""Dec""},0),15),
  IF(REGEXMATCH(TRIM(B400),""^\d{2}[/-]\d{2}[/-]\d"&amp;"{4}$""),
    DATE(VALUE(RIGHT(TRIM(B400),4)),VALUE(MID(TRIM(B400),4,2)),VALUE(LEFT(TRIM(B400),2))),
  DATEVALUE(TRIM(B400)))),
""CHECK"")"),45644.0)</f>
        <v>45644</v>
      </c>
      <c r="R400" s="2" t="str">
        <f t="shared" si="2"/>
        <v>Dec</v>
      </c>
      <c r="S400" s="2" t="str">
        <f t="shared" si="3"/>
        <v>Q4</v>
      </c>
      <c r="T400" s="2">
        <f t="shared" si="4"/>
        <v>51631.2</v>
      </c>
    </row>
    <row r="401">
      <c r="A401" s="9" t="s">
        <v>950</v>
      </c>
      <c r="B401" s="7" t="s">
        <v>951</v>
      </c>
      <c r="C401" s="7" t="s">
        <v>22</v>
      </c>
      <c r="D401" s="7" t="s">
        <v>85</v>
      </c>
      <c r="E401" s="7" t="s">
        <v>63</v>
      </c>
      <c r="F401" s="7" t="s">
        <v>281</v>
      </c>
      <c r="G401" s="7">
        <v>12701.28</v>
      </c>
      <c r="H401" s="7" t="s">
        <v>26</v>
      </c>
      <c r="I401" s="7" t="s">
        <v>213</v>
      </c>
      <c r="J401" s="7" t="s">
        <v>142</v>
      </c>
      <c r="K401" s="7" t="s">
        <v>39</v>
      </c>
      <c r="L401" s="7"/>
      <c r="N401" s="2" t="str">
        <f t="shared" si="1"/>
        <v>Sales</v>
      </c>
      <c r="O401" s="6">
        <f>IFERROR(__xludf.DUMMYFUNCTION("IFERROR(
  IF(LEN(TRIM(B401))=6,
    DATE(2000+VALUE(RIGHT(TRIM(B401),2)),MATCH(LEFT(TRIM(B401),3),{""Jan"",""Feb"",""Mar"",""Apr"",""May"",""Jun"",""Jul"",""Aug"",""Sep"",""Oct"",""Nov"",""Dec""},0),15),
  IF(REGEXMATCH(TRIM(B401),""^\d{2}[/-]\d{2}[/-]\d"&amp;"{4}$""),
    DATE(VALUE(RIGHT(TRIM(B401),4)),VALUE(MID(TRIM(B401),4,2)),VALUE(LEFT(TRIM(B401),2))),
  DATEVALUE(TRIM(B401)))),
""CHECK"")"),45602.0)</f>
        <v>45602</v>
      </c>
      <c r="R401" s="2" t="str">
        <f t="shared" si="2"/>
        <v>Nov</v>
      </c>
      <c r="S401" s="2" t="str">
        <f t="shared" si="3"/>
        <v>Q4</v>
      </c>
      <c r="T401" s="2">
        <f t="shared" si="4"/>
        <v>12701.28</v>
      </c>
    </row>
    <row r="402">
      <c r="A402" s="10" t="s">
        <v>952</v>
      </c>
      <c r="B402" s="5" t="s">
        <v>953</v>
      </c>
      <c r="C402" s="5" t="s">
        <v>34</v>
      </c>
      <c r="D402" s="5" t="s">
        <v>31</v>
      </c>
      <c r="E402" s="5" t="s">
        <v>35</v>
      </c>
      <c r="F402" s="5" t="s">
        <v>730</v>
      </c>
      <c r="G402" s="5">
        <v>41796.02</v>
      </c>
      <c r="H402" s="5" t="s">
        <v>26</v>
      </c>
      <c r="I402" s="5" t="s">
        <v>80</v>
      </c>
      <c r="J402" s="5" t="s">
        <v>49</v>
      </c>
      <c r="K402" s="5" t="s">
        <v>39</v>
      </c>
      <c r="L402" s="5"/>
      <c r="N402" s="2" t="str">
        <f t="shared" si="1"/>
        <v>Cloud Infrastructure</v>
      </c>
      <c r="O402" s="6">
        <f>IFERROR(__xludf.DUMMYFUNCTION("IFERROR(
  IF(LEN(TRIM(B402))=6,
    DATE(2000+VALUE(RIGHT(TRIM(B402),2)),MATCH(LEFT(TRIM(B402),3),{""Jan"",""Feb"",""Mar"",""Apr"",""May"",""Jun"",""Jul"",""Aug"",""Sep"",""Oct"",""Nov"",""Dec""},0),15),
  IF(REGEXMATCH(TRIM(B402),""^\d{2}[/-]\d{2}[/-]\d"&amp;"{4}$""),
    DATE(VALUE(RIGHT(TRIM(B402),4)),VALUE(MID(TRIM(B402),4,2)),VALUE(LEFT(TRIM(B402),2))),
  DATEVALUE(TRIM(B402)))),
""CHECK"")"),45587.0)</f>
        <v>45587</v>
      </c>
      <c r="R402" s="2" t="str">
        <f t="shared" si="2"/>
        <v>Oct</v>
      </c>
      <c r="S402" s="2" t="str">
        <f t="shared" si="3"/>
        <v>Q4</v>
      </c>
      <c r="T402" s="2">
        <f t="shared" si="4"/>
        <v>41796.02</v>
      </c>
    </row>
    <row r="403">
      <c r="A403" s="9" t="s">
        <v>954</v>
      </c>
      <c r="B403" s="7" t="s">
        <v>128</v>
      </c>
      <c r="C403" s="7" t="s">
        <v>34</v>
      </c>
      <c r="D403" s="7" t="s">
        <v>54</v>
      </c>
      <c r="E403" s="7" t="s">
        <v>124</v>
      </c>
      <c r="F403" s="7" t="s">
        <v>616</v>
      </c>
      <c r="G403" s="7">
        <v>29031.45</v>
      </c>
      <c r="H403" s="7" t="s">
        <v>26</v>
      </c>
      <c r="I403" s="7" t="s">
        <v>141</v>
      </c>
      <c r="J403" s="7" t="s">
        <v>28</v>
      </c>
      <c r="K403" s="7" t="s">
        <v>29</v>
      </c>
      <c r="L403" s="7"/>
      <c r="N403" s="2" t="str">
        <f t="shared" si="1"/>
        <v>Marketing</v>
      </c>
      <c r="O403" s="6">
        <f>IFERROR(__xludf.DUMMYFUNCTION("IFERROR(
  IF(LEN(TRIM(B403))=6,
    DATE(2000+VALUE(RIGHT(TRIM(B403),2)),MATCH(LEFT(TRIM(B403),3),{""Jan"",""Feb"",""Mar"",""Apr"",""May"",""Jun"",""Jul"",""Aug"",""Sep"",""Oct"",""Nov"",""Dec""},0),15),
  IF(REGEXMATCH(TRIM(B403),""^\d{2}[/-]\d{2}[/-]\d"&amp;"{4}$""),
    DATE(VALUE(RIGHT(TRIM(B403),4)),VALUE(MID(TRIM(B403),4,2)),VALUE(LEFT(TRIM(B403),2))),
  DATEVALUE(TRIM(B403)))),
""CHECK"")"),45306.0)</f>
        <v>45306</v>
      </c>
      <c r="R403" s="2" t="str">
        <f t="shared" si="2"/>
        <v>Jan</v>
      </c>
      <c r="S403" s="2" t="str">
        <f t="shared" si="3"/>
        <v>Q1</v>
      </c>
      <c r="T403" s="2">
        <f t="shared" si="4"/>
        <v>29031.45</v>
      </c>
    </row>
    <row r="404">
      <c r="A404" s="10" t="s">
        <v>955</v>
      </c>
      <c r="B404" s="5" t="s">
        <v>956</v>
      </c>
      <c r="C404" s="5" t="s">
        <v>34</v>
      </c>
      <c r="D404" s="5" t="s">
        <v>54</v>
      </c>
      <c r="E404" s="5" t="s">
        <v>54</v>
      </c>
      <c r="F404" s="5" t="s">
        <v>193</v>
      </c>
      <c r="G404" s="5">
        <v>-11011.65</v>
      </c>
      <c r="H404" s="5" t="s">
        <v>26</v>
      </c>
      <c r="I404" s="5" t="s">
        <v>147</v>
      </c>
      <c r="J404" s="5" t="s">
        <v>142</v>
      </c>
      <c r="K404" s="5" t="s">
        <v>39</v>
      </c>
      <c r="L404" s="5"/>
      <c r="N404" s="2" t="str">
        <f t="shared" si="1"/>
        <v>Marketing</v>
      </c>
      <c r="O404" s="6">
        <f>IFERROR(__xludf.DUMMYFUNCTION("IFERROR(
  IF(LEN(TRIM(B404))=6,
    DATE(2000+VALUE(RIGHT(TRIM(B404),2)),MATCH(LEFT(TRIM(B404),3),{""Jan"",""Feb"",""Mar"",""Apr"",""May"",""Jun"",""Jul"",""Aug"",""Sep"",""Oct"",""Nov"",""Dec""},0),15),
  IF(REGEXMATCH(TRIM(B404),""^\d{2}[/-]\d{2}[/-]\d"&amp;"{4}$""),
    DATE(VALUE(RIGHT(TRIM(B404),4)),VALUE(MID(TRIM(B404),4,2)),VALUE(LEFT(TRIM(B404),2))),
  DATEVALUE(TRIM(B404)))),
""CHECK"")"),45599.0)</f>
        <v>45599</v>
      </c>
      <c r="R404" s="2" t="str">
        <f t="shared" si="2"/>
        <v>Nov</v>
      </c>
      <c r="S404" s="2" t="str">
        <f t="shared" si="3"/>
        <v>Q4</v>
      </c>
      <c r="T404" s="2">
        <f t="shared" si="4"/>
        <v>-11011.65</v>
      </c>
    </row>
    <row r="405">
      <c r="A405" s="9" t="s">
        <v>957</v>
      </c>
      <c r="B405" s="7" t="s">
        <v>295</v>
      </c>
      <c r="C405" s="7" t="s">
        <v>22</v>
      </c>
      <c r="D405" s="7" t="s">
        <v>85</v>
      </c>
      <c r="E405" s="7" t="s">
        <v>97</v>
      </c>
      <c r="F405" s="7" t="s">
        <v>250</v>
      </c>
      <c r="G405" s="7">
        <v>12844.68</v>
      </c>
      <c r="H405" s="7" t="s">
        <v>26</v>
      </c>
      <c r="I405" s="7" t="s">
        <v>129</v>
      </c>
      <c r="J405" s="7" t="s">
        <v>87</v>
      </c>
      <c r="K405" s="7" t="s">
        <v>67</v>
      </c>
      <c r="L405" s="7"/>
      <c r="N405" s="2" t="str">
        <f t="shared" si="1"/>
        <v>Sales</v>
      </c>
      <c r="O405" s="6">
        <f>IFERROR(__xludf.DUMMYFUNCTION("IFERROR(
  IF(LEN(TRIM(B405))=6,
    DATE(2000+VALUE(RIGHT(TRIM(B405),2)),MATCH(LEFT(TRIM(B405),3),{""Jan"",""Feb"",""Mar"",""Apr"",""May"",""Jun"",""Jul"",""Aug"",""Sep"",""Oct"",""Nov"",""Dec""},0),15),
  IF(REGEXMATCH(TRIM(B405),""^\d{2}[/-]\d{2}[/-]\d"&amp;"{4}$""),
    DATE(VALUE(RIGHT(TRIM(B405),4)),VALUE(MID(TRIM(B405),4,2)),VALUE(LEFT(TRIM(B405),2))),
  DATEVALUE(TRIM(B405)))),
""CHECK"")"),45427.0)</f>
        <v>45427</v>
      </c>
      <c r="R405" s="2" t="str">
        <f t="shared" si="2"/>
        <v>May</v>
      </c>
      <c r="S405" s="2" t="str">
        <f t="shared" si="3"/>
        <v>Q2</v>
      </c>
      <c r="T405" s="2">
        <f t="shared" si="4"/>
        <v>12844.68</v>
      </c>
    </row>
    <row r="406">
      <c r="A406" s="10" t="s">
        <v>958</v>
      </c>
      <c r="B406" s="5" t="s">
        <v>959</v>
      </c>
      <c r="C406" s="5" t="s">
        <v>22</v>
      </c>
      <c r="D406" s="5" t="s">
        <v>85</v>
      </c>
      <c r="E406" s="5" t="s">
        <v>97</v>
      </c>
      <c r="F406" s="5" t="s">
        <v>301</v>
      </c>
      <c r="G406" s="5">
        <v>11855.51</v>
      </c>
      <c r="H406" s="5" t="s">
        <v>26</v>
      </c>
      <c r="I406" s="5" t="s">
        <v>129</v>
      </c>
      <c r="J406" s="5" t="s">
        <v>126</v>
      </c>
      <c r="K406" s="5" t="s">
        <v>29</v>
      </c>
      <c r="L406" s="5"/>
      <c r="N406" s="2" t="str">
        <f t="shared" si="1"/>
        <v>Sales</v>
      </c>
      <c r="O406" s="6">
        <f>IFERROR(__xludf.DUMMYFUNCTION("IFERROR(
  IF(LEN(TRIM(B406))=6,
    DATE(2000+VALUE(RIGHT(TRIM(B406),2)),MATCH(LEFT(TRIM(B406),3),{""Jan"",""Feb"",""Mar"",""Apr"",""May"",""Jun"",""Jul"",""Aug"",""Sep"",""Oct"",""Nov"",""Dec""},0),15),
  IF(REGEXMATCH(TRIM(B406),""^\d{2}[/-]\d{2}[/-]\d"&amp;"{4}$""),
    DATE(VALUE(RIGHT(TRIM(B406),4)),VALUE(MID(TRIM(B406),4,2)),VALUE(LEFT(TRIM(B406),2))),
  DATEVALUE(TRIM(B406)))),
""CHECK"")"),45810.0)</f>
        <v>45810</v>
      </c>
      <c r="R406" s="2" t="str">
        <f t="shared" si="2"/>
        <v>Jun</v>
      </c>
      <c r="S406" s="2" t="str">
        <f t="shared" si="3"/>
        <v>Q2</v>
      </c>
      <c r="T406" s="2">
        <f t="shared" si="4"/>
        <v>11855.51</v>
      </c>
    </row>
    <row r="407">
      <c r="A407" s="9" t="s">
        <v>960</v>
      </c>
      <c r="B407" s="7" t="s">
        <v>415</v>
      </c>
      <c r="C407" s="7" t="s">
        <v>34</v>
      </c>
      <c r="D407" s="7" t="s">
        <v>51</v>
      </c>
      <c r="E407" s="7" t="s">
        <v>50</v>
      </c>
      <c r="F407" s="7" t="s">
        <v>961</v>
      </c>
      <c r="G407" s="7">
        <v>22223.37</v>
      </c>
      <c r="H407" s="7" t="s">
        <v>26</v>
      </c>
      <c r="I407" s="7" t="s">
        <v>394</v>
      </c>
      <c r="J407" s="7" t="s">
        <v>126</v>
      </c>
      <c r="K407" s="7" t="s">
        <v>29</v>
      </c>
      <c r="L407" s="7"/>
      <c r="N407" s="2" t="str">
        <f t="shared" si="1"/>
        <v>Customer Success</v>
      </c>
      <c r="O407" s="6">
        <f>IFERROR(__xludf.DUMMYFUNCTION("IFERROR(
  IF(LEN(TRIM(B407))=6,
    DATE(2000+VALUE(RIGHT(TRIM(B407),2)),MATCH(LEFT(TRIM(B407),3),{""Jan"",""Feb"",""Mar"",""Apr"",""May"",""Jun"",""Jul"",""Aug"",""Sep"",""Oct"",""Nov"",""Dec""},0),15),
  IF(REGEXMATCH(TRIM(B407),""^\d{2}[/-]\d{2}[/-]\d"&amp;"{4}$""),
    DATE(VALUE(RIGHT(TRIM(B407),4)),VALUE(MID(TRIM(B407),4,2)),VALUE(LEFT(TRIM(B407),2))),
  DATEVALUE(TRIM(B407)))),
""CHECK"")"),45344.0)</f>
        <v>45344</v>
      </c>
      <c r="R407" s="2" t="str">
        <f t="shared" si="2"/>
        <v>Feb</v>
      </c>
      <c r="S407" s="2" t="str">
        <f t="shared" si="3"/>
        <v>Q1</v>
      </c>
      <c r="T407" s="2">
        <f t="shared" si="4"/>
        <v>22223.37</v>
      </c>
    </row>
    <row r="408">
      <c r="A408" s="10" t="s">
        <v>962</v>
      </c>
      <c r="B408" s="5" t="s">
        <v>963</v>
      </c>
      <c r="C408" s="5" t="s">
        <v>34</v>
      </c>
      <c r="D408" s="5" t="s">
        <v>54</v>
      </c>
      <c r="E408" s="5" t="s">
        <v>54</v>
      </c>
      <c r="F408" s="5" t="s">
        <v>155</v>
      </c>
      <c r="G408" s="5">
        <v>-46864.82</v>
      </c>
      <c r="H408" s="5" t="s">
        <v>26</v>
      </c>
      <c r="I408" s="5" t="s">
        <v>141</v>
      </c>
      <c r="J408" s="5" t="s">
        <v>113</v>
      </c>
      <c r="K408" s="5" t="s">
        <v>67</v>
      </c>
      <c r="L408" s="5"/>
      <c r="N408" s="2" t="str">
        <f t="shared" si="1"/>
        <v>Marketing</v>
      </c>
      <c r="O408" s="6">
        <f>IFERROR(__xludf.DUMMYFUNCTION("IFERROR(
  IF(LEN(TRIM(B408))=6,
    DATE(2000+VALUE(RIGHT(TRIM(B408),2)),MATCH(LEFT(TRIM(B408),3),{""Jan"",""Feb"",""Mar"",""Apr"",""May"",""Jun"",""Jul"",""Aug"",""Sep"",""Oct"",""Nov"",""Dec""},0),15),
  IF(REGEXMATCH(TRIM(B408),""^\d{2}[/-]\d{2}[/-]\d"&amp;"{4}$""),
    DATE(VALUE(RIGHT(TRIM(B408),4)),VALUE(MID(TRIM(B408),4,2)),VALUE(LEFT(TRIM(B408),2))),
  DATEVALUE(TRIM(B408)))),
""CHECK"")"),45473.0)</f>
        <v>45473</v>
      </c>
      <c r="R408" s="2" t="str">
        <f t="shared" si="2"/>
        <v>Jun</v>
      </c>
      <c r="S408" s="2" t="str">
        <f t="shared" si="3"/>
        <v>Q2</v>
      </c>
      <c r="T408" s="2">
        <f t="shared" si="4"/>
        <v>-46864.82</v>
      </c>
    </row>
    <row r="409">
      <c r="A409" s="9" t="s">
        <v>964</v>
      </c>
      <c r="B409" s="7" t="s">
        <v>965</v>
      </c>
      <c r="C409" s="7" t="s">
        <v>34</v>
      </c>
      <c r="D409" s="7" t="s">
        <v>82</v>
      </c>
      <c r="E409" s="7" t="s">
        <v>99</v>
      </c>
      <c r="F409" s="7" t="s">
        <v>966</v>
      </c>
      <c r="G409" s="7">
        <v>27652.77</v>
      </c>
      <c r="H409" s="7" t="s">
        <v>26</v>
      </c>
      <c r="I409" s="7" t="s">
        <v>141</v>
      </c>
      <c r="J409" s="7" t="s">
        <v>49</v>
      </c>
      <c r="K409" s="7" t="s">
        <v>39</v>
      </c>
      <c r="L409" s="7"/>
      <c r="N409" s="2" t="str">
        <f t="shared" si="1"/>
        <v>Engineering</v>
      </c>
      <c r="O409" s="6">
        <f>IFERROR(__xludf.DUMMYFUNCTION("IFERROR(
  IF(LEN(TRIM(B409))=6,
    DATE(2000+VALUE(RIGHT(TRIM(B409),2)),MATCH(LEFT(TRIM(B409),3),{""Jan"",""Feb"",""Mar"",""Apr"",""May"",""Jun"",""Jul"",""Aug"",""Sep"",""Oct"",""Nov"",""Dec""},0),15),
  IF(REGEXMATCH(TRIM(B409),""^\d{2}[/-]\d{2}[/-]\d"&amp;"{4}$""),
    DATE(VALUE(RIGHT(TRIM(B409),4)),VALUE(MID(TRIM(B409),4,2)),VALUE(LEFT(TRIM(B409),2))),
  DATEVALUE(TRIM(B409)))),
""CHECK"")"),45726.0)</f>
        <v>45726</v>
      </c>
      <c r="R409" s="2" t="str">
        <f t="shared" si="2"/>
        <v>Mar</v>
      </c>
      <c r="S409" s="2" t="str">
        <f t="shared" si="3"/>
        <v>Q1</v>
      </c>
      <c r="T409" s="2">
        <f t="shared" si="4"/>
        <v>27652.77</v>
      </c>
    </row>
    <row r="410">
      <c r="A410" s="10" t="s">
        <v>967</v>
      </c>
      <c r="B410" s="5" t="s">
        <v>968</v>
      </c>
      <c r="C410" s="5" t="s">
        <v>34</v>
      </c>
      <c r="D410" s="5" t="s">
        <v>51</v>
      </c>
      <c r="E410" s="5" t="s">
        <v>68</v>
      </c>
      <c r="F410" s="5" t="s">
        <v>969</v>
      </c>
      <c r="G410" s="5">
        <v>15813.3</v>
      </c>
      <c r="H410" s="5" t="s">
        <v>26</v>
      </c>
      <c r="I410" s="5" t="s">
        <v>80</v>
      </c>
      <c r="J410" s="5" t="s">
        <v>49</v>
      </c>
      <c r="K410" s="5" t="s">
        <v>39</v>
      </c>
      <c r="L410" s="5"/>
      <c r="N410" s="2" t="str">
        <f t="shared" si="1"/>
        <v>Customer Success</v>
      </c>
      <c r="O410" s="6">
        <f>IFERROR(__xludf.DUMMYFUNCTION("IFERROR(
  IF(LEN(TRIM(B410))=6,
    DATE(2000+VALUE(RIGHT(TRIM(B410),2)),MATCH(LEFT(TRIM(B410),3),{""Jan"",""Feb"",""Mar"",""Apr"",""May"",""Jun"",""Jul"",""Aug"",""Sep"",""Oct"",""Nov"",""Dec""},0),15),
  IF(REGEXMATCH(TRIM(B410),""^\d{2}[/-]\d{2}[/-]\d"&amp;"{4}$""),
    DATE(VALUE(RIGHT(TRIM(B410),4)),VALUE(MID(TRIM(B410),4,2)),VALUE(LEFT(TRIM(B410),2))),
  DATEVALUE(TRIM(B410)))),
""CHECK"")"),45568.0)</f>
        <v>45568</v>
      </c>
      <c r="R410" s="2" t="str">
        <f t="shared" si="2"/>
        <v>Oct</v>
      </c>
      <c r="S410" s="2" t="str">
        <f t="shared" si="3"/>
        <v>Q4</v>
      </c>
      <c r="T410" s="2">
        <f t="shared" si="4"/>
        <v>15813.3</v>
      </c>
    </row>
    <row r="411">
      <c r="A411" s="9" t="s">
        <v>970</v>
      </c>
      <c r="B411" s="7" t="s">
        <v>692</v>
      </c>
      <c r="C411" s="7" t="s">
        <v>34</v>
      </c>
      <c r="D411" s="7" t="s">
        <v>90</v>
      </c>
      <c r="E411" s="7" t="s">
        <v>90</v>
      </c>
      <c r="F411" s="7" t="s">
        <v>393</v>
      </c>
      <c r="G411" s="7">
        <v>9653.12</v>
      </c>
      <c r="H411" s="7" t="s">
        <v>26</v>
      </c>
      <c r="I411" s="7" t="s">
        <v>394</v>
      </c>
      <c r="J411" s="7" t="s">
        <v>28</v>
      </c>
      <c r="K411" s="7" t="s">
        <v>29</v>
      </c>
      <c r="L411" s="7"/>
      <c r="N411" s="2" t="str">
        <f t="shared" si="1"/>
        <v>G&amp;A</v>
      </c>
      <c r="O411" s="6">
        <f>IFERROR(__xludf.DUMMYFUNCTION("IFERROR(
  IF(LEN(TRIM(B411))=6,
    DATE(2000+VALUE(RIGHT(TRIM(B411),2)),MATCH(LEFT(TRIM(B411),3),{""Jan"",""Feb"",""Mar"",""Apr"",""May"",""Jun"",""Jul"",""Aug"",""Sep"",""Oct"",""Nov"",""Dec""},0),15),
  IF(REGEXMATCH(TRIM(B411),""^\d{2}[/-]\d{2}[/-]\d"&amp;"{4}$""),
    DATE(VALUE(RIGHT(TRIM(B411),4)),VALUE(MID(TRIM(B411),4,2)),VALUE(LEFT(TRIM(B411),2))),
  DATEVALUE(TRIM(B411)))),
""CHECK"")"),45306.0)</f>
        <v>45306</v>
      </c>
      <c r="R411" s="2" t="str">
        <f t="shared" si="2"/>
        <v>Jan</v>
      </c>
      <c r="S411" s="2" t="str">
        <f t="shared" si="3"/>
        <v>Q1</v>
      </c>
      <c r="T411" s="2">
        <f t="shared" si="4"/>
        <v>9653.12</v>
      </c>
    </row>
    <row r="412">
      <c r="A412" s="10" t="s">
        <v>971</v>
      </c>
      <c r="B412" s="5" t="s">
        <v>128</v>
      </c>
      <c r="C412" s="5" t="s">
        <v>22</v>
      </c>
      <c r="D412" s="5" t="s">
        <v>62</v>
      </c>
      <c r="E412" s="5" t="s">
        <v>63</v>
      </c>
      <c r="F412" s="5" t="s">
        <v>284</v>
      </c>
      <c r="G412" s="5">
        <v>6154.67</v>
      </c>
      <c r="H412" s="5" t="s">
        <v>26</v>
      </c>
      <c r="I412" s="5" t="s">
        <v>72</v>
      </c>
      <c r="J412" s="5" t="s">
        <v>28</v>
      </c>
      <c r="K412" s="5" t="s">
        <v>29</v>
      </c>
      <c r="L412" s="5"/>
      <c r="N412" s="2" t="str">
        <f t="shared" si="1"/>
        <v>Sales</v>
      </c>
      <c r="O412" s="6">
        <f>IFERROR(__xludf.DUMMYFUNCTION("IFERROR(
  IF(LEN(TRIM(B412))=6,
    DATE(2000+VALUE(RIGHT(TRIM(B412),2)),MATCH(LEFT(TRIM(B412),3),{""Jan"",""Feb"",""Mar"",""Apr"",""May"",""Jun"",""Jul"",""Aug"",""Sep"",""Oct"",""Nov"",""Dec""},0),15),
  IF(REGEXMATCH(TRIM(B412),""^\d{2}[/-]\d{2}[/-]\d"&amp;"{4}$""),
    DATE(VALUE(RIGHT(TRIM(B412),4)),VALUE(MID(TRIM(B412),4,2)),VALUE(LEFT(TRIM(B412),2))),
  DATEVALUE(TRIM(B412)))),
""CHECK"")"),45306.0)</f>
        <v>45306</v>
      </c>
      <c r="R412" s="2" t="str">
        <f t="shared" si="2"/>
        <v>Jan</v>
      </c>
      <c r="S412" s="2" t="str">
        <f t="shared" si="3"/>
        <v>Q1</v>
      </c>
      <c r="T412" s="2">
        <f t="shared" si="4"/>
        <v>6154.67</v>
      </c>
    </row>
    <row r="413">
      <c r="A413" s="9" t="s">
        <v>972</v>
      </c>
      <c r="B413" s="7" t="s">
        <v>973</v>
      </c>
      <c r="C413" s="7" t="s">
        <v>34</v>
      </c>
      <c r="D413" s="7" t="s">
        <v>111</v>
      </c>
      <c r="E413" s="7" t="s">
        <v>24</v>
      </c>
      <c r="F413" s="7" t="s">
        <v>606</v>
      </c>
      <c r="G413" s="7">
        <v>26560.34</v>
      </c>
      <c r="H413" s="7" t="s">
        <v>26</v>
      </c>
      <c r="I413" s="7" t="s">
        <v>80</v>
      </c>
      <c r="J413" s="7" t="s">
        <v>38</v>
      </c>
      <c r="K413" s="7" t="s">
        <v>39</v>
      </c>
      <c r="L413" s="7"/>
      <c r="N413" s="2" t="str">
        <f t="shared" si="1"/>
        <v>Sales</v>
      </c>
      <c r="O413" s="6">
        <f>IFERROR(__xludf.DUMMYFUNCTION("IFERROR(
  IF(LEN(TRIM(B413))=6,
    DATE(2000+VALUE(RIGHT(TRIM(B413),2)),MATCH(LEFT(TRIM(B413),3),{""Jan"",""Feb"",""Mar"",""Apr"",""May"",""Jun"",""Jul"",""Aug"",""Sep"",""Oct"",""Nov"",""Dec""},0),15),
  IF(REGEXMATCH(TRIM(B413),""^\d{2}[/-]\d{2}[/-]\d"&amp;"{4}$""),
    DATE(VALUE(RIGHT(TRIM(B413),4)),VALUE(MID(TRIM(B413),4,2)),VALUE(LEFT(TRIM(B413),2))),
  DATEVALUE(TRIM(B413)))),
""CHECK"")"),45648.0)</f>
        <v>45648</v>
      </c>
      <c r="R413" s="2" t="str">
        <f t="shared" si="2"/>
        <v>Dec</v>
      </c>
      <c r="S413" s="2" t="str">
        <f t="shared" si="3"/>
        <v>Q4</v>
      </c>
      <c r="T413" s="2">
        <f t="shared" si="4"/>
        <v>26560.34</v>
      </c>
    </row>
    <row r="414">
      <c r="A414" s="10" t="s">
        <v>974</v>
      </c>
      <c r="B414" s="5" t="s">
        <v>975</v>
      </c>
      <c r="C414" s="5" t="s">
        <v>22</v>
      </c>
      <c r="D414" s="5" t="s">
        <v>62</v>
      </c>
      <c r="E414" s="5" t="s">
        <v>97</v>
      </c>
      <c r="F414" s="5" t="s">
        <v>309</v>
      </c>
      <c r="G414" s="5">
        <v>4744.35</v>
      </c>
      <c r="H414" s="5" t="s">
        <v>26</v>
      </c>
      <c r="I414" s="5" t="s">
        <v>134</v>
      </c>
      <c r="J414" s="5" t="s">
        <v>66</v>
      </c>
      <c r="K414" s="5" t="s">
        <v>67</v>
      </c>
      <c r="L414" s="5"/>
      <c r="N414" s="2" t="str">
        <f t="shared" si="1"/>
        <v>Sales</v>
      </c>
      <c r="O414" s="6">
        <f>IFERROR(__xludf.DUMMYFUNCTION("IFERROR(
  IF(LEN(TRIM(B414))=6,
    DATE(2000+VALUE(RIGHT(TRIM(B414),2)),MATCH(LEFT(TRIM(B414),3),{""Jan"",""Feb"",""Mar"",""Apr"",""May"",""Jun"",""Jul"",""Aug"",""Sep"",""Oct"",""Nov"",""Dec""},0),15),
  IF(REGEXMATCH(TRIM(B414),""^\d{2}[/-]\d{2}[/-]\d"&amp;"{4}$""),
    DATE(VALUE(RIGHT(TRIM(B414),4)),VALUE(MID(TRIM(B414),4,2)),VALUE(LEFT(TRIM(B414),2))),
  DATEVALUE(TRIM(B414)))),
""CHECK"")"),45386.0)</f>
        <v>45386</v>
      </c>
      <c r="R414" s="2" t="str">
        <f t="shared" si="2"/>
        <v>Apr</v>
      </c>
      <c r="S414" s="2" t="str">
        <f t="shared" si="3"/>
        <v>Q2</v>
      </c>
      <c r="T414" s="2">
        <f t="shared" si="4"/>
        <v>4744.35</v>
      </c>
    </row>
    <row r="415">
      <c r="A415" s="9" t="s">
        <v>976</v>
      </c>
      <c r="B415" s="7" t="s">
        <v>977</v>
      </c>
      <c r="C415" s="7" t="s">
        <v>22</v>
      </c>
      <c r="D415" s="7" t="s">
        <v>23</v>
      </c>
      <c r="E415" s="7" t="s">
        <v>63</v>
      </c>
      <c r="F415" s="7" t="s">
        <v>187</v>
      </c>
      <c r="G415" s="7">
        <v>85221.74</v>
      </c>
      <c r="H415" s="7" t="s">
        <v>26</v>
      </c>
      <c r="I415" s="7" t="s">
        <v>137</v>
      </c>
      <c r="J415" s="7" t="s">
        <v>108</v>
      </c>
      <c r="K415" s="7" t="s">
        <v>59</v>
      </c>
      <c r="L415" s="7"/>
      <c r="N415" s="2" t="str">
        <f t="shared" si="1"/>
        <v>Sales</v>
      </c>
      <c r="O415" s="6">
        <f>IFERROR(__xludf.DUMMYFUNCTION("IFERROR(
  IF(LEN(TRIM(B415))=6,
    DATE(2000+VALUE(RIGHT(TRIM(B415),2)),MATCH(LEFT(TRIM(B415),3),{""Jan"",""Feb"",""Mar"",""Apr"",""May"",""Jun"",""Jul"",""Aug"",""Sep"",""Oct"",""Nov"",""Dec""},0),15),
  IF(REGEXMATCH(TRIM(B415),""^\d{2}[/-]\d{2}[/-]\d"&amp;"{4}$""),
    DATE(VALUE(RIGHT(TRIM(B415),4)),VALUE(MID(TRIM(B415),4,2)),VALUE(LEFT(TRIM(B415),2))),
  DATEVALUE(TRIM(B415)))),
""CHECK"")"),45510.0)</f>
        <v>45510</v>
      </c>
      <c r="R415" s="2" t="str">
        <f t="shared" si="2"/>
        <v>Aug</v>
      </c>
      <c r="S415" s="2" t="str">
        <f t="shared" si="3"/>
        <v>Q3</v>
      </c>
      <c r="T415" s="2">
        <f t="shared" si="4"/>
        <v>85221.74</v>
      </c>
    </row>
    <row r="416">
      <c r="A416" s="10" t="s">
        <v>978</v>
      </c>
      <c r="B416" s="5" t="s">
        <v>979</v>
      </c>
      <c r="C416" s="5" t="s">
        <v>22</v>
      </c>
      <c r="D416" s="5" t="s">
        <v>23</v>
      </c>
      <c r="E416" s="5" t="s">
        <v>63</v>
      </c>
      <c r="F416" s="5" t="s">
        <v>25</v>
      </c>
      <c r="G416" s="5">
        <v>138943.06</v>
      </c>
      <c r="H416" s="5" t="s">
        <v>26</v>
      </c>
      <c r="I416" s="5" t="s">
        <v>213</v>
      </c>
      <c r="J416" s="5" t="s">
        <v>108</v>
      </c>
      <c r="K416" s="5" t="s">
        <v>59</v>
      </c>
      <c r="L416" s="5"/>
      <c r="N416" s="2" t="str">
        <f t="shared" si="1"/>
        <v>Sales</v>
      </c>
      <c r="O416" s="6">
        <f>IFERROR(__xludf.DUMMYFUNCTION("IFERROR(
  IF(LEN(TRIM(B416))=6,
    DATE(2000+VALUE(RIGHT(TRIM(B416),2)),MATCH(LEFT(TRIM(B416),3),{""Jan"",""Feb"",""Mar"",""Apr"",""May"",""Jun"",""Jul"",""Aug"",""Sep"",""Oct"",""Nov"",""Dec""},0),15),
  IF(REGEXMATCH(TRIM(B416),""^\d{2}[/-]\d{2}[/-]\d"&amp;"{4}$""),
    DATE(VALUE(RIGHT(TRIM(B416),4)),VALUE(MID(TRIM(B416),4,2)),VALUE(LEFT(TRIM(B416),2))),
  DATEVALUE(TRIM(B416)))),
""CHECK"")"),45724.0)</f>
        <v>45724</v>
      </c>
      <c r="R416" s="2" t="str">
        <f t="shared" si="2"/>
        <v>Mar</v>
      </c>
      <c r="S416" s="2" t="str">
        <f t="shared" si="3"/>
        <v>Q1</v>
      </c>
      <c r="T416" s="2">
        <f t="shared" si="4"/>
        <v>138943.06</v>
      </c>
    </row>
    <row r="417">
      <c r="A417" s="9" t="s">
        <v>980</v>
      </c>
      <c r="B417" s="7" t="s">
        <v>653</v>
      </c>
      <c r="C417" s="7" t="s">
        <v>22</v>
      </c>
      <c r="D417" s="7" t="s">
        <v>23</v>
      </c>
      <c r="E417" s="7" t="s">
        <v>111</v>
      </c>
      <c r="F417" s="7" t="s">
        <v>940</v>
      </c>
      <c r="G417" s="7">
        <v>161006.46</v>
      </c>
      <c r="H417" s="7" t="s">
        <v>26</v>
      </c>
      <c r="I417" s="7" t="s">
        <v>129</v>
      </c>
      <c r="J417" s="7" t="s">
        <v>126</v>
      </c>
      <c r="K417" s="7" t="s">
        <v>29</v>
      </c>
      <c r="L417" s="7"/>
      <c r="N417" s="2" t="str">
        <f t="shared" si="1"/>
        <v>Sales</v>
      </c>
      <c r="O417" s="6">
        <f>IFERROR(__xludf.DUMMYFUNCTION("IFERROR(
  IF(LEN(TRIM(B417))=6,
    DATE(2000+VALUE(RIGHT(TRIM(B417),2)),MATCH(LEFT(TRIM(B417),3),{""Jan"",""Feb"",""Mar"",""Apr"",""May"",""Jun"",""Jul"",""Aug"",""Sep"",""Oct"",""Nov"",""Dec""},0),15),
  IF(REGEXMATCH(TRIM(B417),""^\d{2}[/-]\d{2}[/-]\d"&amp;"{4}$""),
    DATE(VALUE(RIGHT(TRIM(B417),4)),VALUE(MID(TRIM(B417),4,2)),VALUE(LEFT(TRIM(B417),2))),
  DATEVALUE(TRIM(B417)))),
""CHECK"")"),45337.0)</f>
        <v>45337</v>
      </c>
      <c r="R417" s="2" t="str">
        <f t="shared" si="2"/>
        <v>Feb</v>
      </c>
      <c r="S417" s="2" t="str">
        <f t="shared" si="3"/>
        <v>Q1</v>
      </c>
      <c r="T417" s="2">
        <f t="shared" si="4"/>
        <v>161006.46</v>
      </c>
    </row>
    <row r="418">
      <c r="A418" s="10" t="s">
        <v>981</v>
      </c>
      <c r="B418" s="5" t="s">
        <v>655</v>
      </c>
      <c r="C418" s="5" t="s">
        <v>34</v>
      </c>
      <c r="D418" s="5" t="s">
        <v>51</v>
      </c>
      <c r="E418" s="5" t="s">
        <v>68</v>
      </c>
      <c r="F418" s="5" t="s">
        <v>616</v>
      </c>
      <c r="G418" s="5">
        <v>2456.96</v>
      </c>
      <c r="H418" s="5" t="s">
        <v>26</v>
      </c>
      <c r="I418" s="5" t="s">
        <v>141</v>
      </c>
      <c r="J418" s="5" t="s">
        <v>108</v>
      </c>
      <c r="K418" s="5" t="s">
        <v>59</v>
      </c>
      <c r="L418" s="5"/>
      <c r="N418" s="2" t="str">
        <f t="shared" si="1"/>
        <v>Customer Success</v>
      </c>
      <c r="O418" s="6">
        <f>IFERROR(__xludf.DUMMYFUNCTION("IFERROR(
  IF(LEN(TRIM(B418))=6,
    DATE(2000+VALUE(RIGHT(TRIM(B418),2)),MATCH(LEFT(TRIM(B418),3),{""Jan"",""Feb"",""Mar"",""Apr"",""May"",""Jun"",""Jul"",""Aug"",""Sep"",""Oct"",""Nov"",""Dec""},0),15),
  IF(REGEXMATCH(TRIM(B418),""^\d{2}[/-]\d{2}[/-]\d"&amp;"{4}$""),
    DATE(VALUE(RIGHT(TRIM(B418),4)),VALUE(MID(TRIM(B418),4,2)),VALUE(LEFT(TRIM(B418),2))),
  DATEVALUE(TRIM(B418)))),
""CHECK"")"),45522.0)</f>
        <v>45522</v>
      </c>
      <c r="R418" s="2" t="str">
        <f t="shared" si="2"/>
        <v>Aug</v>
      </c>
      <c r="S418" s="2" t="str">
        <f t="shared" si="3"/>
        <v>Q3</v>
      </c>
      <c r="T418" s="2">
        <f t="shared" si="4"/>
        <v>2456.96</v>
      </c>
    </row>
    <row r="419">
      <c r="A419" s="9" t="s">
        <v>982</v>
      </c>
      <c r="B419" s="7" t="s">
        <v>983</v>
      </c>
      <c r="C419" s="7" t="s">
        <v>34</v>
      </c>
      <c r="D419" s="7" t="s">
        <v>54</v>
      </c>
      <c r="E419" s="7" t="s">
        <v>130</v>
      </c>
      <c r="F419" s="7" t="s">
        <v>338</v>
      </c>
      <c r="G419" s="7">
        <v>61644.56</v>
      </c>
      <c r="H419" s="7" t="s">
        <v>26</v>
      </c>
      <c r="I419" s="7" t="s">
        <v>141</v>
      </c>
      <c r="J419" s="7" t="s">
        <v>108</v>
      </c>
      <c r="K419" s="7" t="s">
        <v>59</v>
      </c>
      <c r="L419" s="7"/>
      <c r="N419" s="2" t="str">
        <f t="shared" si="1"/>
        <v>Marketing</v>
      </c>
      <c r="O419" s="6">
        <f>IFERROR(__xludf.DUMMYFUNCTION("IFERROR(
  IF(LEN(TRIM(B419))=6,
    DATE(2000+VALUE(RIGHT(TRIM(B419),2)),MATCH(LEFT(TRIM(B419),3),{""Jan"",""Feb"",""Mar"",""Apr"",""May"",""Jun"",""Jul"",""Aug"",""Sep"",""Oct"",""Nov"",""Dec""},0),15),
  IF(REGEXMATCH(TRIM(B419),""^\d{2}[/-]\d{2}[/-]\d"&amp;"{4}$""),
    DATE(VALUE(RIGHT(TRIM(B419),4)),VALUE(MID(TRIM(B419),4,2)),VALUE(LEFT(TRIM(B419),2))),
  DATEVALUE(TRIM(B419)))),
""CHECK"")"),45420.0)</f>
        <v>45420</v>
      </c>
      <c r="R419" s="2" t="str">
        <f t="shared" si="2"/>
        <v>May</v>
      </c>
      <c r="S419" s="2" t="str">
        <f t="shared" si="3"/>
        <v>Q2</v>
      </c>
      <c r="T419" s="2">
        <f t="shared" si="4"/>
        <v>61644.56</v>
      </c>
    </row>
    <row r="420">
      <c r="A420" s="10" t="s">
        <v>984</v>
      </c>
      <c r="B420" s="5" t="s">
        <v>985</v>
      </c>
      <c r="C420" s="5" t="s">
        <v>34</v>
      </c>
      <c r="D420" s="5" t="s">
        <v>51</v>
      </c>
      <c r="E420" s="5" t="s">
        <v>74</v>
      </c>
      <c r="F420" s="5" t="s">
        <v>505</v>
      </c>
      <c r="G420" s="5">
        <v>38889.63</v>
      </c>
      <c r="H420" s="5" t="s">
        <v>26</v>
      </c>
      <c r="I420" s="5" t="s">
        <v>80</v>
      </c>
      <c r="J420" s="5" t="s">
        <v>142</v>
      </c>
      <c r="K420" s="5" t="s">
        <v>39</v>
      </c>
      <c r="L420" s="5"/>
      <c r="N420" s="2" t="str">
        <f t="shared" si="1"/>
        <v>Customer Success</v>
      </c>
      <c r="O420" s="6">
        <f>IFERROR(__xludf.DUMMYFUNCTION("IFERROR(
  IF(LEN(TRIM(B420))=6,
    DATE(2000+VALUE(RIGHT(TRIM(B420),2)),MATCH(LEFT(TRIM(B420),3),{""Jan"",""Feb"",""Mar"",""Apr"",""May"",""Jun"",""Jul"",""Aug"",""Sep"",""Oct"",""Nov"",""Dec""},0),15),
  IF(REGEXMATCH(TRIM(B420),""^\d{2}[/-]\d{2}[/-]\d"&amp;"{4}$""),
    DATE(VALUE(RIGHT(TRIM(B420),4)),VALUE(MID(TRIM(B420),4,2)),VALUE(LEFT(TRIM(B420),2))),
  DATEVALUE(TRIM(B420)))),
""CHECK"")"),45699.0)</f>
        <v>45699</v>
      </c>
      <c r="R420" s="2" t="str">
        <f t="shared" si="2"/>
        <v>Feb</v>
      </c>
      <c r="S420" s="2" t="str">
        <f t="shared" si="3"/>
        <v>Q1</v>
      </c>
      <c r="T420" s="2">
        <f t="shared" si="4"/>
        <v>38889.63</v>
      </c>
    </row>
    <row r="421">
      <c r="A421" s="9" t="s">
        <v>986</v>
      </c>
      <c r="B421" s="7" t="s">
        <v>160</v>
      </c>
      <c r="C421" s="7" t="s">
        <v>34</v>
      </c>
      <c r="D421" s="7" t="s">
        <v>82</v>
      </c>
      <c r="E421" s="7" t="s">
        <v>418</v>
      </c>
      <c r="F421" s="7" t="s">
        <v>293</v>
      </c>
      <c r="G421" s="7">
        <v>31898.67</v>
      </c>
      <c r="H421" s="7" t="s">
        <v>26</v>
      </c>
      <c r="I421" s="7" t="s">
        <v>206</v>
      </c>
      <c r="J421" s="7" t="s">
        <v>87</v>
      </c>
      <c r="K421" s="7" t="s">
        <v>67</v>
      </c>
      <c r="L421" s="7"/>
      <c r="N421" s="2" t="str">
        <f t="shared" si="1"/>
        <v>Engineering</v>
      </c>
      <c r="O421" s="6">
        <f>IFERROR(__xludf.DUMMYFUNCTION("IFERROR(
  IF(LEN(TRIM(B421))=6,
    DATE(2000+VALUE(RIGHT(TRIM(B421),2)),MATCH(LEFT(TRIM(B421),3),{""Jan"",""Feb"",""Mar"",""Apr"",""May"",""Jun"",""Jul"",""Aug"",""Sep"",""Oct"",""Nov"",""Dec""},0),15),
  IF(REGEXMATCH(TRIM(B421),""^\d{2}[/-]\d{2}[/-]\d"&amp;"{4}$""),
    DATE(VALUE(RIGHT(TRIM(B421),4)),VALUE(MID(TRIM(B421),4,2)),VALUE(LEFT(TRIM(B421),2))),
  DATEVALUE(TRIM(B421)))),
""CHECK"")"),45434.0)</f>
        <v>45434</v>
      </c>
      <c r="R421" s="2" t="str">
        <f t="shared" si="2"/>
        <v>May</v>
      </c>
      <c r="S421" s="2" t="str">
        <f t="shared" si="3"/>
        <v>Q2</v>
      </c>
      <c r="T421" s="2">
        <f t="shared" si="4"/>
        <v>31898.67</v>
      </c>
    </row>
    <row r="422">
      <c r="A422" s="10" t="s">
        <v>987</v>
      </c>
      <c r="B422" s="5" t="s">
        <v>988</v>
      </c>
      <c r="C422" s="5" t="s">
        <v>34</v>
      </c>
      <c r="D422" s="5" t="s">
        <v>31</v>
      </c>
      <c r="E422" s="5" t="s">
        <v>77</v>
      </c>
      <c r="F422" s="5" t="s">
        <v>121</v>
      </c>
      <c r="G422" s="5">
        <v>26242.06</v>
      </c>
      <c r="H422" s="5" t="s">
        <v>26</v>
      </c>
      <c r="I422" s="5" t="s">
        <v>37</v>
      </c>
      <c r="J422" s="5" t="s">
        <v>87</v>
      </c>
      <c r="K422" s="5" t="s">
        <v>67</v>
      </c>
      <c r="L422" s="5"/>
      <c r="N422" s="2" t="str">
        <f t="shared" si="1"/>
        <v>Cloud Infrastructure</v>
      </c>
      <c r="O422" s="6">
        <f>IFERROR(__xludf.DUMMYFUNCTION("IFERROR(
  IF(LEN(TRIM(B422))=6,
    DATE(2000+VALUE(RIGHT(TRIM(B422),2)),MATCH(LEFT(TRIM(B422),3),{""Jan"",""Feb"",""Mar"",""Apr"",""May"",""Jun"",""Jul"",""Aug"",""Sep"",""Oct"",""Nov"",""Dec""},0),15),
  IF(REGEXMATCH(TRIM(B422),""^\d{2}[/-]\d{2}[/-]\d"&amp;"{4}$""),
    DATE(VALUE(RIGHT(TRIM(B422),4)),VALUE(MID(TRIM(B422),4,2)),VALUE(LEFT(TRIM(B422),2))),
  DATEVALUE(TRIM(B422)))),
""CHECK"")"),45601.0)</f>
        <v>45601</v>
      </c>
      <c r="R422" s="2" t="str">
        <f t="shared" si="2"/>
        <v>Nov</v>
      </c>
      <c r="S422" s="2" t="str">
        <f t="shared" si="3"/>
        <v>Q4</v>
      </c>
      <c r="T422" s="2">
        <f t="shared" si="4"/>
        <v>26242.06</v>
      </c>
    </row>
    <row r="423">
      <c r="A423" s="9" t="s">
        <v>989</v>
      </c>
      <c r="B423" s="7" t="s">
        <v>990</v>
      </c>
      <c r="C423" s="7" t="s">
        <v>34</v>
      </c>
      <c r="D423" s="7" t="s">
        <v>54</v>
      </c>
      <c r="E423" s="7" t="s">
        <v>124</v>
      </c>
      <c r="F423" s="7" t="s">
        <v>380</v>
      </c>
      <c r="G423" s="7">
        <v>88488.85</v>
      </c>
      <c r="H423" s="7" t="s">
        <v>26</v>
      </c>
      <c r="I423" s="7" t="s">
        <v>57</v>
      </c>
      <c r="J423" s="7" t="s">
        <v>44</v>
      </c>
      <c r="K423" s="7" t="s">
        <v>29</v>
      </c>
      <c r="L423" s="7"/>
      <c r="N423" s="2" t="str">
        <f t="shared" si="1"/>
        <v>Marketing</v>
      </c>
      <c r="O423" s="6">
        <f>IFERROR(__xludf.DUMMYFUNCTION("IFERROR(
  IF(LEN(TRIM(B423))=6,
    DATE(2000+VALUE(RIGHT(TRIM(B423),2)),MATCH(LEFT(TRIM(B423),3),{""Jan"",""Feb"",""Mar"",""Apr"",""May"",""Jun"",""Jul"",""Aug"",""Sep"",""Oct"",""Nov"",""Dec""},0),15),
  IF(REGEXMATCH(TRIM(B423),""^\d{2}[/-]\d{2}[/-]\d"&amp;"{4}$""),
    DATE(VALUE(RIGHT(TRIM(B423),4)),VALUE(MID(TRIM(B423),4,2)),VALUE(LEFT(TRIM(B423),2))),
  DATEVALUE(TRIM(B423)))),
""CHECK"")"),45370.0)</f>
        <v>45370</v>
      </c>
      <c r="R423" s="2" t="str">
        <f t="shared" si="2"/>
        <v>Mar</v>
      </c>
      <c r="S423" s="2" t="str">
        <f t="shared" si="3"/>
        <v>Q1</v>
      </c>
      <c r="T423" s="2">
        <f t="shared" si="4"/>
        <v>88488.85</v>
      </c>
    </row>
    <row r="424">
      <c r="A424" s="10" t="s">
        <v>991</v>
      </c>
      <c r="B424" s="5" t="s">
        <v>308</v>
      </c>
      <c r="C424" s="5" t="s">
        <v>34</v>
      </c>
      <c r="D424" s="5" t="s">
        <v>51</v>
      </c>
      <c r="E424" s="5" t="s">
        <v>74</v>
      </c>
      <c r="F424" s="5" t="s">
        <v>992</v>
      </c>
      <c r="G424" s="5">
        <v>11803.74</v>
      </c>
      <c r="H424" s="5" t="s">
        <v>26</v>
      </c>
      <c r="I424" s="5" t="s">
        <v>118</v>
      </c>
      <c r="J424" s="5" t="s">
        <v>126</v>
      </c>
      <c r="K424" s="5" t="s">
        <v>29</v>
      </c>
      <c r="L424" s="5"/>
      <c r="N424" s="2" t="str">
        <f t="shared" si="1"/>
        <v>Customer Success</v>
      </c>
      <c r="O424" s="6">
        <f>IFERROR(__xludf.DUMMYFUNCTION("IFERROR(
  IF(LEN(TRIM(B424))=6,
    DATE(2000+VALUE(RIGHT(TRIM(B424),2)),MATCH(LEFT(TRIM(B424),3),{""Jan"",""Feb"",""Mar"",""Apr"",""May"",""Jun"",""Jul"",""Aug"",""Sep"",""Oct"",""Nov"",""Dec""},0),15),
  IF(REGEXMATCH(TRIM(B424),""^\d{2}[/-]\d{2}[/-]\d"&amp;"{4}$""),
    DATE(VALUE(RIGHT(TRIM(B424),4)),VALUE(MID(TRIM(B424),4,2)),VALUE(LEFT(TRIM(B424),2))),
  DATEVALUE(TRIM(B424)))),
""CHECK"")"),45351.0)</f>
        <v>45351</v>
      </c>
      <c r="R424" s="2" t="str">
        <f t="shared" si="2"/>
        <v>Feb</v>
      </c>
      <c r="S424" s="2" t="str">
        <f t="shared" si="3"/>
        <v>Q1</v>
      </c>
      <c r="T424" s="2">
        <f t="shared" si="4"/>
        <v>11803.74</v>
      </c>
    </row>
    <row r="425">
      <c r="A425" s="9" t="s">
        <v>993</v>
      </c>
      <c r="B425" s="7" t="s">
        <v>994</v>
      </c>
      <c r="C425" s="7" t="s">
        <v>34</v>
      </c>
      <c r="D425" s="7" t="s">
        <v>90</v>
      </c>
      <c r="E425" s="7" t="s">
        <v>91</v>
      </c>
      <c r="F425" s="7" t="s">
        <v>995</v>
      </c>
      <c r="G425" s="7">
        <v>9571.09</v>
      </c>
      <c r="H425" s="7" t="s">
        <v>26</v>
      </c>
      <c r="I425" s="7" t="s">
        <v>206</v>
      </c>
      <c r="J425" s="7" t="s">
        <v>44</v>
      </c>
      <c r="K425" s="7" t="s">
        <v>29</v>
      </c>
      <c r="L425" s="7"/>
      <c r="N425" s="2" t="str">
        <f t="shared" si="1"/>
        <v>G&amp;A</v>
      </c>
      <c r="O425" s="6">
        <f>IFERROR(__xludf.DUMMYFUNCTION("IFERROR(
  IF(LEN(TRIM(B425))=6,
    DATE(2000+VALUE(RIGHT(TRIM(B425),2)),MATCH(LEFT(TRIM(B425),3),{""Jan"",""Feb"",""Mar"",""Apr"",""May"",""Jun"",""Jul"",""Aug"",""Sep"",""Oct"",""Nov"",""Dec""},0),15),
  IF(REGEXMATCH(TRIM(B425),""^\d{2}[/-]\d{2}[/-]\d"&amp;"{4}$""),
    DATE(VALUE(RIGHT(TRIM(B425),4)),VALUE(MID(TRIM(B425),4,2)),VALUE(LEFT(TRIM(B425),2))),
  DATEVALUE(TRIM(B425)))),
""CHECK"")"),45361.0)</f>
        <v>45361</v>
      </c>
      <c r="R425" s="2" t="str">
        <f t="shared" si="2"/>
        <v>Mar</v>
      </c>
      <c r="S425" s="2" t="str">
        <f t="shared" si="3"/>
        <v>Q1</v>
      </c>
      <c r="T425" s="2">
        <f t="shared" si="4"/>
        <v>9571.09</v>
      </c>
    </row>
    <row r="426">
      <c r="A426" s="10" t="s">
        <v>996</v>
      </c>
      <c r="B426" s="5" t="s">
        <v>997</v>
      </c>
      <c r="C426" s="5" t="s">
        <v>22</v>
      </c>
      <c r="D426" s="5" t="s">
        <v>62</v>
      </c>
      <c r="E426" s="5" t="s">
        <v>97</v>
      </c>
      <c r="F426" s="5" t="s">
        <v>64</v>
      </c>
      <c r="G426" s="5">
        <v>23344.58</v>
      </c>
      <c r="H426" s="5" t="s">
        <v>26</v>
      </c>
      <c r="I426" s="5" t="s">
        <v>129</v>
      </c>
      <c r="J426" s="5" t="s">
        <v>38</v>
      </c>
      <c r="K426" s="5" t="s">
        <v>39</v>
      </c>
      <c r="L426" s="5"/>
      <c r="N426" s="2" t="str">
        <f t="shared" si="1"/>
        <v>Sales</v>
      </c>
      <c r="O426" s="6">
        <f>IFERROR(__xludf.DUMMYFUNCTION("IFERROR(
  IF(LEN(TRIM(B426))=6,
    DATE(2000+VALUE(RIGHT(TRIM(B426),2)),MATCH(LEFT(TRIM(B426),3),{""Jan"",""Feb"",""Mar"",""Apr"",""May"",""Jun"",""Jul"",""Aug"",""Sep"",""Oct"",""Nov"",""Dec""},0),15),
  IF(REGEXMATCH(TRIM(B426),""^\d{2}[/-]\d{2}[/-]\d"&amp;"{4}$""),
    DATE(VALUE(RIGHT(TRIM(B426),4)),VALUE(MID(TRIM(B426),4,2)),VALUE(LEFT(TRIM(B426),2))),
  DATEVALUE(TRIM(B426)))),
""CHECK"")"),45629.0)</f>
        <v>45629</v>
      </c>
      <c r="R426" s="2" t="str">
        <f t="shared" si="2"/>
        <v>Dec</v>
      </c>
      <c r="S426" s="2" t="str">
        <f t="shared" si="3"/>
        <v>Q4</v>
      </c>
      <c r="T426" s="2">
        <f t="shared" si="4"/>
        <v>23344.58</v>
      </c>
    </row>
    <row r="427">
      <c r="A427" s="9" t="s">
        <v>998</v>
      </c>
      <c r="B427" s="7" t="s">
        <v>999</v>
      </c>
      <c r="C427" s="7" t="s">
        <v>34</v>
      </c>
      <c r="D427" s="7" t="s">
        <v>90</v>
      </c>
      <c r="E427" s="7" t="s">
        <v>104</v>
      </c>
      <c r="F427" s="7" t="s">
        <v>1000</v>
      </c>
      <c r="G427" s="7">
        <v>12886.5</v>
      </c>
      <c r="H427" s="7" t="s">
        <v>26</v>
      </c>
      <c r="I427" s="7" t="s">
        <v>93</v>
      </c>
      <c r="J427" s="7" t="s">
        <v>28</v>
      </c>
      <c r="K427" s="7" t="s">
        <v>29</v>
      </c>
      <c r="L427" s="7"/>
      <c r="N427" s="2" t="str">
        <f t="shared" si="1"/>
        <v>G&amp;A</v>
      </c>
      <c r="O427" s="6">
        <f>IFERROR(__xludf.DUMMYFUNCTION("IFERROR(
  IF(LEN(TRIM(B427))=6,
    DATE(2000+VALUE(RIGHT(TRIM(B427),2)),MATCH(LEFT(TRIM(B427),3),{""Jan"",""Feb"",""Mar"",""Apr"",""May"",""Jun"",""Jul"",""Aug"",""Sep"",""Oct"",""Nov"",""Dec""},0),15),
  IF(REGEXMATCH(TRIM(B427),""^\d{2}[/-]\d{2}[/-]\d"&amp;"{4}$""),
    DATE(VALUE(RIGHT(TRIM(B427),4)),VALUE(MID(TRIM(B427),4,2)),VALUE(LEFT(TRIM(B427),2))),
  DATEVALUE(TRIM(B427)))),
""CHECK"")"),45317.0)</f>
        <v>45317</v>
      </c>
      <c r="R427" s="2" t="str">
        <f t="shared" si="2"/>
        <v>Jan</v>
      </c>
      <c r="S427" s="2" t="str">
        <f t="shared" si="3"/>
        <v>Q1</v>
      </c>
      <c r="T427" s="2">
        <f t="shared" si="4"/>
        <v>12886.5</v>
      </c>
    </row>
    <row r="428">
      <c r="A428" s="10" t="s">
        <v>1001</v>
      </c>
      <c r="B428" s="5" t="s">
        <v>528</v>
      </c>
      <c r="C428" s="5" t="s">
        <v>22</v>
      </c>
      <c r="D428" s="5" t="s">
        <v>85</v>
      </c>
      <c r="E428" s="5" t="s">
        <v>63</v>
      </c>
      <c r="F428" s="5" t="s">
        <v>548</v>
      </c>
      <c r="G428" s="5">
        <v>12822.66</v>
      </c>
      <c r="H428" s="5" t="s">
        <v>26</v>
      </c>
      <c r="I428" s="5" t="s">
        <v>27</v>
      </c>
      <c r="J428" s="5" t="s">
        <v>28</v>
      </c>
      <c r="K428" s="5" t="s">
        <v>29</v>
      </c>
      <c r="L428" s="5"/>
      <c r="N428" s="2" t="str">
        <f t="shared" si="1"/>
        <v>Sales</v>
      </c>
      <c r="O428" s="6">
        <f>IFERROR(__xludf.DUMMYFUNCTION("IFERROR(
  IF(LEN(TRIM(B428))=6,
    DATE(2000+VALUE(RIGHT(TRIM(B428),2)),MATCH(LEFT(TRIM(B428),3),{""Jan"",""Feb"",""Mar"",""Apr"",""May"",""Jun"",""Jul"",""Aug"",""Sep"",""Oct"",""Nov"",""Dec""},0),15),
  IF(REGEXMATCH(TRIM(B428),""^\d{2}[/-]\d{2}[/-]\d"&amp;"{4}$""),
    DATE(VALUE(RIGHT(TRIM(B428),4)),VALUE(MID(TRIM(B428),4,2)),VALUE(LEFT(TRIM(B428),2))),
  DATEVALUE(TRIM(B428)))),
""CHECK"")"),45294.0)</f>
        <v>45294</v>
      </c>
      <c r="R428" s="2" t="str">
        <f t="shared" si="2"/>
        <v>Jan</v>
      </c>
      <c r="S428" s="2" t="str">
        <f t="shared" si="3"/>
        <v>Q1</v>
      </c>
      <c r="T428" s="2">
        <f t="shared" si="4"/>
        <v>12822.66</v>
      </c>
    </row>
    <row r="429">
      <c r="A429" s="9" t="s">
        <v>1002</v>
      </c>
      <c r="B429" s="7" t="s">
        <v>1003</v>
      </c>
      <c r="C429" s="7" t="s">
        <v>34</v>
      </c>
      <c r="D429" s="7" t="s">
        <v>82</v>
      </c>
      <c r="E429" s="7" t="s">
        <v>94</v>
      </c>
      <c r="F429" s="7" t="s">
        <v>448</v>
      </c>
      <c r="G429" s="7">
        <v>93977.54</v>
      </c>
      <c r="H429" s="7" t="s">
        <v>26</v>
      </c>
      <c r="I429" s="7" t="s">
        <v>394</v>
      </c>
      <c r="J429" s="7" t="s">
        <v>126</v>
      </c>
      <c r="K429" s="7" t="s">
        <v>29</v>
      </c>
      <c r="L429" s="7"/>
      <c r="N429" s="2" t="str">
        <f t="shared" si="1"/>
        <v>Engineering</v>
      </c>
      <c r="O429" s="6">
        <f>IFERROR(__xludf.DUMMYFUNCTION("IFERROR(
  IF(LEN(TRIM(B429))=6,
    DATE(2000+VALUE(RIGHT(TRIM(B429),2)),MATCH(LEFT(TRIM(B429),3),{""Jan"",""Feb"",""Mar"",""Apr"",""May"",""Jun"",""Jul"",""Aug"",""Sep"",""Oct"",""Nov"",""Dec""},0),15),
  IF(REGEXMATCH(TRIM(B429),""^\d{2}[/-]\d{2}[/-]\d"&amp;"{4}$""),
    DATE(VALUE(RIGHT(TRIM(B429),4)),VALUE(MID(TRIM(B429),4,2)),VALUE(LEFT(TRIM(B429),2))),
  DATEVALUE(TRIM(B429)))),
""CHECK"")"),45329.0)</f>
        <v>45329</v>
      </c>
      <c r="R429" s="2" t="str">
        <f t="shared" si="2"/>
        <v>Feb</v>
      </c>
      <c r="S429" s="2" t="str">
        <f t="shared" si="3"/>
        <v>Q1</v>
      </c>
      <c r="T429" s="2">
        <f t="shared" si="4"/>
        <v>93977.54</v>
      </c>
    </row>
    <row r="430">
      <c r="A430" s="10" t="s">
        <v>1004</v>
      </c>
      <c r="B430" s="5" t="s">
        <v>1005</v>
      </c>
      <c r="C430" s="5" t="s">
        <v>34</v>
      </c>
      <c r="D430" s="5" t="s">
        <v>90</v>
      </c>
      <c r="E430" s="5" t="s">
        <v>91</v>
      </c>
      <c r="F430" s="5" t="s">
        <v>121</v>
      </c>
      <c r="G430" s="5">
        <v>7786.69</v>
      </c>
      <c r="H430" s="5" t="s">
        <v>26</v>
      </c>
      <c r="I430" s="5" t="s">
        <v>37</v>
      </c>
      <c r="J430" s="5" t="s">
        <v>126</v>
      </c>
      <c r="K430" s="5" t="s">
        <v>29</v>
      </c>
      <c r="L430" s="5"/>
      <c r="N430" s="2" t="str">
        <f t="shared" si="1"/>
        <v>G&amp;A</v>
      </c>
      <c r="O430" s="6">
        <f>IFERROR(__xludf.DUMMYFUNCTION("IFERROR(
  IF(LEN(TRIM(B430))=6,
    DATE(2000+VALUE(RIGHT(TRIM(B430),2)),MATCH(LEFT(TRIM(B430),3),{""Jan"",""Feb"",""Mar"",""Apr"",""May"",""Jun"",""Jul"",""Aug"",""Sep"",""Oct"",""Nov"",""Dec""},0),15),
  IF(REGEXMATCH(TRIM(B430),""^\d{2}[/-]\d{2}[/-]\d"&amp;"{4}$""),
    DATE(VALUE(RIGHT(TRIM(B430),4)),VALUE(MID(TRIM(B430),4,2)),VALUE(LEFT(TRIM(B430),2))),
  DATEVALUE(TRIM(B430)))),
""CHECK"")"),45332.0)</f>
        <v>45332</v>
      </c>
      <c r="R430" s="2" t="str">
        <f t="shared" si="2"/>
        <v>Feb</v>
      </c>
      <c r="S430" s="2" t="str">
        <f t="shared" si="3"/>
        <v>Q1</v>
      </c>
      <c r="T430" s="2">
        <f t="shared" si="4"/>
        <v>7786.69</v>
      </c>
    </row>
    <row r="431">
      <c r="A431" s="9" t="s">
        <v>1006</v>
      </c>
      <c r="B431" s="7" t="s">
        <v>1007</v>
      </c>
      <c r="C431" s="7" t="s">
        <v>34</v>
      </c>
      <c r="D431" s="7" t="s">
        <v>111</v>
      </c>
      <c r="E431" s="7" t="s">
        <v>111</v>
      </c>
      <c r="F431" s="7" t="s">
        <v>377</v>
      </c>
      <c r="G431" s="7">
        <v>26624.19</v>
      </c>
      <c r="H431" s="7" t="s">
        <v>26</v>
      </c>
      <c r="I431" s="7" t="s">
        <v>37</v>
      </c>
      <c r="J431" s="7" t="s">
        <v>49</v>
      </c>
      <c r="K431" s="7" t="s">
        <v>39</v>
      </c>
      <c r="L431" s="7"/>
      <c r="N431" s="2" t="str">
        <f t="shared" si="1"/>
        <v>Sales</v>
      </c>
      <c r="O431" s="6">
        <f>IFERROR(__xludf.DUMMYFUNCTION("IFERROR(
  IF(LEN(TRIM(B431))=6,
    DATE(2000+VALUE(RIGHT(TRIM(B431),2)),MATCH(LEFT(TRIM(B431),3),{""Jan"",""Feb"",""Mar"",""Apr"",""May"",""Jun"",""Jul"",""Aug"",""Sep"",""Oct"",""Nov"",""Dec""},0),15),
  IF(REGEXMATCH(TRIM(B431),""^\d{2}[/-]\d{2}[/-]\d"&amp;"{4}$""),
    DATE(VALUE(RIGHT(TRIM(B431),4)),VALUE(MID(TRIM(B431),4,2)),VALUE(LEFT(TRIM(B431),2))),
  DATEVALUE(TRIM(B431)))),
""CHECK"")"),45584.0)</f>
        <v>45584</v>
      </c>
      <c r="R431" s="2" t="str">
        <f t="shared" si="2"/>
        <v>Oct</v>
      </c>
      <c r="S431" s="2" t="str">
        <f t="shared" si="3"/>
        <v>Q4</v>
      </c>
      <c r="T431" s="2">
        <f t="shared" si="4"/>
        <v>26624.19</v>
      </c>
    </row>
    <row r="432">
      <c r="A432" s="10" t="s">
        <v>1008</v>
      </c>
      <c r="B432" s="5" t="s">
        <v>1009</v>
      </c>
      <c r="C432" s="5" t="s">
        <v>34</v>
      </c>
      <c r="D432" s="5" t="s">
        <v>54</v>
      </c>
      <c r="E432" s="5" t="s">
        <v>55</v>
      </c>
      <c r="F432" s="5" t="s">
        <v>321</v>
      </c>
      <c r="G432" s="5">
        <v>49008.37</v>
      </c>
      <c r="H432" s="5" t="s">
        <v>26</v>
      </c>
      <c r="I432" s="5" t="s">
        <v>147</v>
      </c>
      <c r="J432" s="5" t="s">
        <v>49</v>
      </c>
      <c r="K432" s="5" t="s">
        <v>39</v>
      </c>
      <c r="L432" s="5"/>
      <c r="N432" s="2" t="str">
        <f t="shared" si="1"/>
        <v>Marketing</v>
      </c>
      <c r="O432" s="6">
        <f>IFERROR(__xludf.DUMMYFUNCTION("IFERROR(
  IF(LEN(TRIM(B432))=6,
    DATE(2000+VALUE(RIGHT(TRIM(B432),2)),MATCH(LEFT(TRIM(B432),3),{""Jan"",""Feb"",""Mar"",""Apr"",""May"",""Jun"",""Jul"",""Aug"",""Sep"",""Oct"",""Nov"",""Dec""},0),15),
  IF(REGEXMATCH(TRIM(B432),""^\d{2}[/-]\d{2}[/-]\d"&amp;"{4}$""),
    DATE(VALUE(RIGHT(TRIM(B432),4)),VALUE(MID(TRIM(B432),4,2)),VALUE(LEFT(TRIM(B432),2))),
  DATEVALUE(TRIM(B432)))),
""CHECK"")"),45596.0)</f>
        <v>45596</v>
      </c>
      <c r="R432" s="2" t="str">
        <f t="shared" si="2"/>
        <v>Oct</v>
      </c>
      <c r="S432" s="2" t="str">
        <f t="shared" si="3"/>
        <v>Q4</v>
      </c>
      <c r="T432" s="2">
        <f t="shared" si="4"/>
        <v>49008.37</v>
      </c>
    </row>
    <row r="433">
      <c r="A433" s="9" t="s">
        <v>1010</v>
      </c>
      <c r="B433" s="7" t="s">
        <v>305</v>
      </c>
      <c r="C433" s="7" t="s">
        <v>22</v>
      </c>
      <c r="D433" s="7" t="s">
        <v>62</v>
      </c>
      <c r="E433" s="7" t="s">
        <v>24</v>
      </c>
      <c r="F433" s="7" t="s">
        <v>64</v>
      </c>
      <c r="G433" s="7">
        <v>7774.02</v>
      </c>
      <c r="H433" s="7" t="s">
        <v>26</v>
      </c>
      <c r="I433" s="7" t="s">
        <v>72</v>
      </c>
      <c r="J433" s="7" t="s">
        <v>126</v>
      </c>
      <c r="K433" s="7" t="s">
        <v>29</v>
      </c>
      <c r="L433" s="7"/>
      <c r="N433" s="2" t="str">
        <f t="shared" si="1"/>
        <v>Sales</v>
      </c>
      <c r="O433" s="6">
        <f>IFERROR(__xludf.DUMMYFUNCTION("IFERROR(
  IF(LEN(TRIM(B433))=6,
    DATE(2000+VALUE(RIGHT(TRIM(B433),2)),MATCH(LEFT(TRIM(B433),3),{""Jan"",""Feb"",""Mar"",""Apr"",""May"",""Jun"",""Jul"",""Aug"",""Sep"",""Oct"",""Nov"",""Dec""},0),15),
  IF(REGEXMATCH(TRIM(B433),""^\d{2}[/-]\d{2}[/-]\d"&amp;"{4}$""),
    DATE(VALUE(RIGHT(TRIM(B433),4)),VALUE(MID(TRIM(B433),4,2)),VALUE(LEFT(TRIM(B433),2))),
  DATEVALUE(TRIM(B433)))),
""CHECK"")"),45344.0)</f>
        <v>45344</v>
      </c>
      <c r="R433" s="2" t="str">
        <f t="shared" si="2"/>
        <v>Feb</v>
      </c>
      <c r="S433" s="2" t="str">
        <f t="shared" si="3"/>
        <v>Q1</v>
      </c>
      <c r="T433" s="2">
        <f t="shared" si="4"/>
        <v>7774.02</v>
      </c>
    </row>
    <row r="434">
      <c r="A434" s="10" t="s">
        <v>1011</v>
      </c>
      <c r="B434" s="5" t="s">
        <v>1012</v>
      </c>
      <c r="C434" s="5" t="s">
        <v>34</v>
      </c>
      <c r="D434" s="5" t="s">
        <v>82</v>
      </c>
      <c r="E434" s="5" t="s">
        <v>94</v>
      </c>
      <c r="F434" s="5" t="s">
        <v>478</v>
      </c>
      <c r="G434" s="5">
        <v>22349.88</v>
      </c>
      <c r="H434" s="5" t="s">
        <v>26</v>
      </c>
      <c r="I434" s="5" t="s">
        <v>231</v>
      </c>
      <c r="J434" s="5" t="s">
        <v>113</v>
      </c>
      <c r="K434" s="5" t="s">
        <v>67</v>
      </c>
      <c r="L434" s="5"/>
      <c r="N434" s="2" t="str">
        <f t="shared" si="1"/>
        <v>Engineering</v>
      </c>
      <c r="O434" s="6">
        <f>IFERROR(__xludf.DUMMYFUNCTION("IFERROR(
  IF(LEN(TRIM(B434))=6,
    DATE(2000+VALUE(RIGHT(TRIM(B434),2)),MATCH(LEFT(TRIM(B434),3),{""Jan"",""Feb"",""Mar"",""Apr"",""May"",""Jun"",""Jul"",""Aug"",""Sep"",""Oct"",""Nov"",""Dec""},0),15),
  IF(REGEXMATCH(TRIM(B434),""^\d{2}[/-]\d{2}[/-]\d"&amp;"{4}$""),
    DATE(VALUE(RIGHT(TRIM(B434),4)),VALUE(MID(TRIM(B434),4,2)),VALUE(LEFT(TRIM(B434),2))),
  DATEVALUE(TRIM(B434)))),
""CHECK"")"),45458.0)</f>
        <v>45458</v>
      </c>
      <c r="R434" s="2" t="str">
        <f t="shared" si="2"/>
        <v>Jun</v>
      </c>
      <c r="S434" s="2" t="str">
        <f t="shared" si="3"/>
        <v>Q2</v>
      </c>
      <c r="T434" s="2">
        <f t="shared" si="4"/>
        <v>22349.88</v>
      </c>
    </row>
    <row r="435">
      <c r="A435" s="9" t="s">
        <v>1013</v>
      </c>
      <c r="B435" s="7" t="s">
        <v>1014</v>
      </c>
      <c r="C435" s="7" t="s">
        <v>22</v>
      </c>
      <c r="D435" s="7" t="s">
        <v>85</v>
      </c>
      <c r="E435" s="7" t="s">
        <v>97</v>
      </c>
      <c r="F435" s="7" t="s">
        <v>216</v>
      </c>
      <c r="G435" s="7">
        <v>63488.13</v>
      </c>
      <c r="H435" s="7" t="s">
        <v>26</v>
      </c>
      <c r="I435" s="7" t="s">
        <v>65</v>
      </c>
      <c r="J435" s="7" t="s">
        <v>126</v>
      </c>
      <c r="K435" s="7" t="s">
        <v>29</v>
      </c>
      <c r="L435" s="7"/>
      <c r="N435" s="2" t="str">
        <f t="shared" si="1"/>
        <v>Sales</v>
      </c>
      <c r="O435" s="6">
        <f>IFERROR(__xludf.DUMMYFUNCTION("IFERROR(
  IF(LEN(TRIM(B435))=6,
    DATE(2000+VALUE(RIGHT(TRIM(B435),2)),MATCH(LEFT(TRIM(B435),3),{""Jan"",""Feb"",""Mar"",""Apr"",""May"",""Jun"",""Jul"",""Aug"",""Sep"",""Oct"",""Nov"",""Dec""},0),15),
  IF(REGEXMATCH(TRIM(B435),""^\d{2}[/-]\d{2}[/-]\d"&amp;"{4}$""),
    DATE(VALUE(RIGHT(TRIM(B435),4)),VALUE(MID(TRIM(B435),4,2)),VALUE(LEFT(TRIM(B435),2))),
  DATEVALUE(TRIM(B435)))),
""CHECK"")"),45334.0)</f>
        <v>45334</v>
      </c>
      <c r="R435" s="2" t="str">
        <f t="shared" si="2"/>
        <v>Feb</v>
      </c>
      <c r="S435" s="2" t="str">
        <f t="shared" si="3"/>
        <v>Q1</v>
      </c>
      <c r="T435" s="2">
        <f t="shared" si="4"/>
        <v>63488.13</v>
      </c>
    </row>
    <row r="436">
      <c r="A436" s="10" t="s">
        <v>1015</v>
      </c>
      <c r="B436" s="5" t="s">
        <v>719</v>
      </c>
      <c r="C436" s="5" t="s">
        <v>22</v>
      </c>
      <c r="D436" s="5" t="s">
        <v>62</v>
      </c>
      <c r="E436" s="5" t="s">
        <v>63</v>
      </c>
      <c r="F436" s="5" t="s">
        <v>284</v>
      </c>
      <c r="G436" s="5">
        <v>8548.04</v>
      </c>
      <c r="H436" s="5" t="s">
        <v>26</v>
      </c>
      <c r="I436" s="5" t="s">
        <v>213</v>
      </c>
      <c r="J436" s="5" t="s">
        <v>142</v>
      </c>
      <c r="K436" s="5" t="s">
        <v>39</v>
      </c>
      <c r="L436" s="5"/>
      <c r="N436" s="2" t="str">
        <f t="shared" si="1"/>
        <v>Sales</v>
      </c>
      <c r="O436" s="6">
        <f>IFERROR(__xludf.DUMMYFUNCTION("IFERROR(
  IF(LEN(TRIM(B436))=6,
    DATE(2000+VALUE(RIGHT(TRIM(B436),2)),MATCH(LEFT(TRIM(B436),3),{""Jan"",""Feb"",""Mar"",""Apr"",""May"",""Jun"",""Jul"",""Aug"",""Sep"",""Oct"",""Nov"",""Dec""},0),15),
  IF(REGEXMATCH(TRIM(B436),""^\d{2}[/-]\d{2}[/-]\d"&amp;"{4}$""),
    DATE(VALUE(RIGHT(TRIM(B436),4)),VALUE(MID(TRIM(B436),4,2)),VALUE(LEFT(TRIM(B436),2))),
  DATEVALUE(TRIM(B436)))),
""CHECK"")"),45601.0)</f>
        <v>45601</v>
      </c>
      <c r="R436" s="2" t="str">
        <f t="shared" si="2"/>
        <v>Nov</v>
      </c>
      <c r="S436" s="2" t="str">
        <f t="shared" si="3"/>
        <v>Q4</v>
      </c>
      <c r="T436" s="2">
        <f t="shared" si="4"/>
        <v>8548.04</v>
      </c>
    </row>
    <row r="437">
      <c r="A437" s="9" t="s">
        <v>1016</v>
      </c>
      <c r="B437" s="7" t="s">
        <v>1017</v>
      </c>
      <c r="C437" s="7" t="s">
        <v>34</v>
      </c>
      <c r="D437" s="7" t="s">
        <v>82</v>
      </c>
      <c r="E437" s="7" t="s">
        <v>99</v>
      </c>
      <c r="F437" s="7" t="s">
        <v>444</v>
      </c>
      <c r="G437" s="7">
        <v>26847.61</v>
      </c>
      <c r="H437" s="7" t="s">
        <v>26</v>
      </c>
      <c r="I437" s="7" t="s">
        <v>103</v>
      </c>
      <c r="J437" s="7" t="s">
        <v>58</v>
      </c>
      <c r="K437" s="7" t="s">
        <v>59</v>
      </c>
      <c r="L437" s="7"/>
      <c r="N437" s="2" t="str">
        <f t="shared" si="1"/>
        <v>Engineering</v>
      </c>
      <c r="O437" s="6">
        <f>IFERROR(__xludf.DUMMYFUNCTION("IFERROR(
  IF(LEN(TRIM(B437))=6,
    DATE(2000+VALUE(RIGHT(TRIM(B437),2)),MATCH(LEFT(TRIM(B437),3),{""Jan"",""Feb"",""Mar"",""Apr"",""May"",""Jun"",""Jul"",""Aug"",""Sep"",""Oct"",""Nov"",""Dec""},0),15),
  IF(REGEXMATCH(TRIM(B437),""^\d{2}[/-]\d{2}[/-]\d"&amp;"{4}$""),
    DATE(VALUE(RIGHT(TRIM(B437),4)),VALUE(MID(TRIM(B437),4,2)),VALUE(LEFT(TRIM(B437),2))),
  DATEVALUE(TRIM(B437)))),
""CHECK"")"),45496.0)</f>
        <v>45496</v>
      </c>
      <c r="R437" s="2" t="str">
        <f t="shared" si="2"/>
        <v>Jul</v>
      </c>
      <c r="S437" s="2" t="str">
        <f t="shared" si="3"/>
        <v>Q3</v>
      </c>
      <c r="T437" s="2">
        <f t="shared" si="4"/>
        <v>26847.61</v>
      </c>
    </row>
    <row r="438">
      <c r="A438" s="10" t="s">
        <v>1018</v>
      </c>
      <c r="B438" s="5" t="s">
        <v>1019</v>
      </c>
      <c r="C438" s="5" t="s">
        <v>34</v>
      </c>
      <c r="D438" s="5" t="s">
        <v>31</v>
      </c>
      <c r="E438" s="5" t="s">
        <v>77</v>
      </c>
      <c r="F438" s="5" t="s">
        <v>1020</v>
      </c>
      <c r="G438" s="5">
        <v>37203.14</v>
      </c>
      <c r="H438" s="5" t="s">
        <v>26</v>
      </c>
      <c r="I438" s="5" t="s">
        <v>141</v>
      </c>
      <c r="J438" s="5" t="s">
        <v>73</v>
      </c>
      <c r="K438" s="5" t="s">
        <v>59</v>
      </c>
      <c r="L438" s="5"/>
      <c r="N438" s="2" t="str">
        <f t="shared" si="1"/>
        <v>Cloud Infrastructure</v>
      </c>
      <c r="O438" s="6">
        <f>IFERROR(__xludf.DUMMYFUNCTION("IFERROR(
  IF(LEN(TRIM(B438))=6,
    DATE(2000+VALUE(RIGHT(TRIM(B438),2)),MATCH(LEFT(TRIM(B438),3),{""Jan"",""Feb"",""Mar"",""Apr"",""May"",""Jun"",""Jul"",""Aug"",""Sep"",""Oct"",""Nov"",""Dec""},0),15),
  IF(REGEXMATCH(TRIM(B438),""^\d{2}[/-]\d{2}[/-]\d"&amp;"{4}$""),
    DATE(VALUE(RIGHT(TRIM(B438),4)),VALUE(MID(TRIM(B438),4,2)),VALUE(LEFT(TRIM(B438),2))),
  DATEVALUE(TRIM(B438)))),
""CHECK"")"),46121.0)</f>
        <v>46121</v>
      </c>
      <c r="R438" s="2" t="str">
        <f t="shared" si="2"/>
        <v>Apr</v>
      </c>
      <c r="S438" s="2" t="str">
        <f t="shared" si="3"/>
        <v>Q2</v>
      </c>
      <c r="T438" s="2">
        <f t="shared" si="4"/>
        <v>37203.14</v>
      </c>
    </row>
    <row r="439">
      <c r="A439" s="9" t="s">
        <v>1021</v>
      </c>
      <c r="B439" s="7" t="s">
        <v>939</v>
      </c>
      <c r="C439" s="7" t="s">
        <v>34</v>
      </c>
      <c r="D439" s="7" t="s">
        <v>51</v>
      </c>
      <c r="E439" s="7" t="s">
        <v>68</v>
      </c>
      <c r="F439" s="7" t="s">
        <v>1020</v>
      </c>
      <c r="G439" s="7">
        <v>38681.67</v>
      </c>
      <c r="H439" s="7" t="s">
        <v>26</v>
      </c>
      <c r="I439" s="7" t="s">
        <v>141</v>
      </c>
      <c r="J439" s="7" t="s">
        <v>58</v>
      </c>
      <c r="K439" s="7" t="s">
        <v>59</v>
      </c>
      <c r="L439" s="7"/>
      <c r="N439" s="2" t="str">
        <f t="shared" si="1"/>
        <v>Customer Success</v>
      </c>
      <c r="O439" s="6">
        <f>IFERROR(__xludf.DUMMYFUNCTION("IFERROR(
  IF(LEN(TRIM(B439))=6,
    DATE(2000+VALUE(RIGHT(TRIM(B439),2)),MATCH(LEFT(TRIM(B439),3),{""Jan"",""Feb"",""Mar"",""Apr"",""May"",""Jun"",""Jul"",""Aug"",""Sep"",""Oct"",""Nov"",""Dec""},0),15),
  IF(REGEXMATCH(TRIM(B439),""^\d{2}[/-]\d{2}[/-]\d"&amp;"{4}$""),
    DATE(VALUE(RIGHT(TRIM(B439),4)),VALUE(MID(TRIM(B439),4,2)),VALUE(LEFT(TRIM(B439),2))),
  DATEVALUE(TRIM(B439)))),
""CHECK"")"),45488.0)</f>
        <v>45488</v>
      </c>
      <c r="R439" s="2" t="str">
        <f t="shared" si="2"/>
        <v>Jul</v>
      </c>
      <c r="S439" s="2" t="str">
        <f t="shared" si="3"/>
        <v>Q3</v>
      </c>
      <c r="T439" s="2">
        <f t="shared" si="4"/>
        <v>38681.67</v>
      </c>
    </row>
    <row r="440">
      <c r="A440" s="10" t="s">
        <v>1022</v>
      </c>
      <c r="B440" s="5" t="s">
        <v>1023</v>
      </c>
      <c r="C440" s="5" t="s">
        <v>34</v>
      </c>
      <c r="D440" s="5" t="s">
        <v>82</v>
      </c>
      <c r="E440" s="5" t="s">
        <v>82</v>
      </c>
      <c r="F440" s="5" t="s">
        <v>158</v>
      </c>
      <c r="G440" s="5">
        <v>32976.13</v>
      </c>
      <c r="H440" s="5" t="s">
        <v>26</v>
      </c>
      <c r="I440" s="5" t="s">
        <v>37</v>
      </c>
      <c r="J440" s="5" t="s">
        <v>38</v>
      </c>
      <c r="K440" s="5" t="s">
        <v>39</v>
      </c>
      <c r="L440" s="5"/>
      <c r="N440" s="2" t="str">
        <f t="shared" si="1"/>
        <v>Engineering</v>
      </c>
      <c r="O440" s="6">
        <f>IFERROR(__xludf.DUMMYFUNCTION("IFERROR(
  IF(LEN(TRIM(B440))=6,
    DATE(2000+VALUE(RIGHT(TRIM(B440),2)),MATCH(LEFT(TRIM(B440),3),{""Jan"",""Feb"",""Mar"",""Apr"",""May"",""Jun"",""Jul"",""Aug"",""Sep"",""Oct"",""Nov"",""Dec""},0),15),
  IF(REGEXMATCH(TRIM(B440),""^\d{2}[/-]\d{2}[/-]\d"&amp;"{4}$""),
    DATE(VALUE(RIGHT(TRIM(B440),4)),VALUE(MID(TRIM(B440),4,2)),VALUE(LEFT(TRIM(B440),2))),
  DATEVALUE(TRIM(B440)))),
""CHECK"")"),45645.0)</f>
        <v>45645</v>
      </c>
      <c r="R440" s="2" t="str">
        <f t="shared" si="2"/>
        <v>Dec</v>
      </c>
      <c r="S440" s="2" t="str">
        <f t="shared" si="3"/>
        <v>Q4</v>
      </c>
      <c r="T440" s="2">
        <f t="shared" si="4"/>
        <v>32976.13</v>
      </c>
    </row>
    <row r="441">
      <c r="A441" s="9" t="s">
        <v>1024</v>
      </c>
      <c r="B441" s="7" t="s">
        <v>1025</v>
      </c>
      <c r="C441" s="7" t="s">
        <v>22</v>
      </c>
      <c r="D441" s="7" t="s">
        <v>23</v>
      </c>
      <c r="E441" s="7" t="s">
        <v>111</v>
      </c>
      <c r="F441" s="7" t="s">
        <v>187</v>
      </c>
      <c r="G441" s="7">
        <v>137466.01</v>
      </c>
      <c r="H441" s="7" t="s">
        <v>26</v>
      </c>
      <c r="I441" s="7" t="s">
        <v>137</v>
      </c>
      <c r="J441" s="7" t="s">
        <v>142</v>
      </c>
      <c r="K441" s="7" t="s">
        <v>39</v>
      </c>
      <c r="L441" s="7"/>
      <c r="N441" s="2" t="str">
        <f t="shared" si="1"/>
        <v>Sales</v>
      </c>
      <c r="O441" s="6">
        <f>IFERROR(__xludf.DUMMYFUNCTION("IFERROR(
  IF(LEN(TRIM(B441))=6,
    DATE(2000+VALUE(RIGHT(TRIM(B441),2)),MATCH(LEFT(TRIM(B441),3),{""Jan"",""Feb"",""Mar"",""Apr"",""May"",""Jun"",""Jul"",""Aug"",""Sep"",""Oct"",""Nov"",""Dec""},0),15),
  IF(REGEXMATCH(TRIM(B441),""^\d{2}[/-]\d{2}[/-]\d"&amp;"{4}$""),
    DATE(VALUE(RIGHT(TRIM(B441),4)),VALUE(MID(TRIM(B441),4,2)),VALUE(LEFT(TRIM(B441),2))),
  DATEVALUE(TRIM(B441)))),
""CHECK"")"),45611.0)</f>
        <v>45611</v>
      </c>
      <c r="R441" s="2" t="str">
        <f t="shared" si="2"/>
        <v>Nov</v>
      </c>
      <c r="S441" s="2" t="str">
        <f t="shared" si="3"/>
        <v>Q4</v>
      </c>
      <c r="T441" s="2">
        <f t="shared" si="4"/>
        <v>137466.01</v>
      </c>
    </row>
    <row r="442">
      <c r="A442" s="5" t="s">
        <v>1026</v>
      </c>
      <c r="B442" s="5" t="s">
        <v>1027</v>
      </c>
      <c r="C442" s="5" t="s">
        <v>34</v>
      </c>
      <c r="D442" s="5" t="s">
        <v>31</v>
      </c>
      <c r="E442" s="5" t="s">
        <v>31</v>
      </c>
      <c r="F442" s="5" t="s">
        <v>197</v>
      </c>
      <c r="G442" s="5">
        <v>24890.85</v>
      </c>
      <c r="H442" s="5" t="s">
        <v>26</v>
      </c>
      <c r="I442" s="5" t="s">
        <v>93</v>
      </c>
      <c r="J442" s="5" t="s">
        <v>87</v>
      </c>
      <c r="K442" s="5" t="s">
        <v>67</v>
      </c>
      <c r="L442" s="5"/>
      <c r="N442" s="2" t="str">
        <f t="shared" si="1"/>
        <v>Cloud Infrastructure</v>
      </c>
      <c r="O442" s="6">
        <f>IFERROR(__xludf.DUMMYFUNCTION("IFERROR(
  IF(LEN(TRIM(B442))=6,
    DATE(2000+VALUE(RIGHT(TRIM(B442),2)),MATCH(LEFT(TRIM(B442),3),{""Jan"",""Feb"",""Mar"",""Apr"",""May"",""Jun"",""Jul"",""Aug"",""Sep"",""Oct"",""Nov"",""Dec""},0),15),
  IF(REGEXMATCH(TRIM(B442),""^\d{2}[/-]\d{2}[/-]\d"&amp;"{4}$""),
    DATE(VALUE(RIGHT(TRIM(B442),4)),VALUE(MID(TRIM(B442),4,2)),VALUE(LEFT(TRIM(B442),2))),
  DATEVALUE(TRIM(B442)))),
""CHECK"")"),45356.0)</f>
        <v>45356</v>
      </c>
      <c r="R442" s="2" t="str">
        <f t="shared" si="2"/>
        <v>Mar</v>
      </c>
      <c r="S442" s="2" t="str">
        <f t="shared" si="3"/>
        <v>Q1</v>
      </c>
      <c r="T442" s="2">
        <f t="shared" si="4"/>
        <v>24890.85</v>
      </c>
    </row>
    <row r="443">
      <c r="A443" s="7" t="s">
        <v>1028</v>
      </c>
      <c r="B443" s="7" t="s">
        <v>128</v>
      </c>
      <c r="C443" s="7" t="s">
        <v>34</v>
      </c>
      <c r="D443" s="7" t="s">
        <v>111</v>
      </c>
      <c r="E443" s="7" t="s">
        <v>24</v>
      </c>
      <c r="F443" s="7" t="s">
        <v>486</v>
      </c>
      <c r="G443" s="7">
        <v>-4785.93</v>
      </c>
      <c r="H443" s="7" t="s">
        <v>26</v>
      </c>
      <c r="I443" s="7" t="s">
        <v>231</v>
      </c>
      <c r="J443" s="7" t="s">
        <v>28</v>
      </c>
      <c r="K443" s="7" t="s">
        <v>29</v>
      </c>
      <c r="L443" s="7"/>
      <c r="N443" s="2" t="str">
        <f t="shared" si="1"/>
        <v>Sales</v>
      </c>
      <c r="O443" s="6">
        <f>IFERROR(__xludf.DUMMYFUNCTION("IFERROR(
  IF(LEN(TRIM(B443))=6,
    DATE(2000+VALUE(RIGHT(TRIM(B443),2)),MATCH(LEFT(TRIM(B443),3),{""Jan"",""Feb"",""Mar"",""Apr"",""May"",""Jun"",""Jul"",""Aug"",""Sep"",""Oct"",""Nov"",""Dec""},0),15),
  IF(REGEXMATCH(TRIM(B443),""^\d{2}[/-]\d{2}[/-]\d"&amp;"{4}$""),
    DATE(VALUE(RIGHT(TRIM(B443),4)),VALUE(MID(TRIM(B443),4,2)),VALUE(LEFT(TRIM(B443),2))),
  DATEVALUE(TRIM(B443)))),
""CHECK"")"),45306.0)</f>
        <v>45306</v>
      </c>
      <c r="R443" s="2" t="str">
        <f t="shared" si="2"/>
        <v>Jan</v>
      </c>
      <c r="S443" s="2" t="str">
        <f t="shared" si="3"/>
        <v>Q1</v>
      </c>
      <c r="T443" s="2">
        <f t="shared" si="4"/>
        <v>-4785.93</v>
      </c>
    </row>
    <row r="444">
      <c r="A444" s="5" t="s">
        <v>1029</v>
      </c>
      <c r="B444" s="5" t="s">
        <v>1030</v>
      </c>
      <c r="C444" s="5" t="s">
        <v>22</v>
      </c>
      <c r="D444" s="5" t="s">
        <v>85</v>
      </c>
      <c r="E444" s="5" t="s">
        <v>24</v>
      </c>
      <c r="F444" s="5" t="s">
        <v>494</v>
      </c>
      <c r="G444" s="5">
        <v>25132.28</v>
      </c>
      <c r="H444" s="5" t="s">
        <v>26</v>
      </c>
      <c r="I444" s="5" t="s">
        <v>27</v>
      </c>
      <c r="J444" s="5" t="s">
        <v>44</v>
      </c>
      <c r="K444" s="5" t="s">
        <v>29</v>
      </c>
      <c r="L444" s="5"/>
      <c r="N444" s="2" t="str">
        <f t="shared" si="1"/>
        <v>Sales</v>
      </c>
      <c r="O444" s="6">
        <f>IFERROR(__xludf.DUMMYFUNCTION("IFERROR(
  IF(LEN(TRIM(B444))=6,
    DATE(2000+VALUE(RIGHT(TRIM(B444),2)),MATCH(LEFT(TRIM(B444),3),{""Jan"",""Feb"",""Mar"",""Apr"",""May"",""Jun"",""Jul"",""Aug"",""Sep"",""Oct"",""Nov"",""Dec""},0),15),
  IF(REGEXMATCH(TRIM(B444),""^\d{2}[/-]\d{2}[/-]\d"&amp;"{4}$""),
    DATE(VALUE(RIGHT(TRIM(B444),4)),VALUE(MID(TRIM(B444),4,2)),VALUE(LEFT(TRIM(B444),2))),
  DATEVALUE(TRIM(B444)))),
""CHECK"")"),45382.0)</f>
        <v>45382</v>
      </c>
      <c r="R444" s="2" t="str">
        <f t="shared" si="2"/>
        <v>Mar</v>
      </c>
      <c r="S444" s="2" t="str">
        <f t="shared" si="3"/>
        <v>Q1</v>
      </c>
      <c r="T444" s="2">
        <f t="shared" si="4"/>
        <v>25132.28</v>
      </c>
    </row>
    <row r="445">
      <c r="A445" s="7" t="s">
        <v>1031</v>
      </c>
      <c r="B445" s="7" t="s">
        <v>1032</v>
      </c>
      <c r="C445" s="7" t="s">
        <v>34</v>
      </c>
      <c r="D445" s="7" t="s">
        <v>51</v>
      </c>
      <c r="E445" s="7" t="s">
        <v>68</v>
      </c>
      <c r="F445" s="7" t="s">
        <v>377</v>
      </c>
      <c r="G445" s="7">
        <v>5572.58</v>
      </c>
      <c r="H445" s="7" t="s">
        <v>26</v>
      </c>
      <c r="I445" s="7" t="s">
        <v>37</v>
      </c>
      <c r="J445" s="7" t="s">
        <v>49</v>
      </c>
      <c r="K445" s="7" t="s">
        <v>39</v>
      </c>
      <c r="L445" s="7"/>
      <c r="N445" s="2" t="str">
        <f t="shared" si="1"/>
        <v>Customer Success</v>
      </c>
      <c r="O445" s="6">
        <f>IFERROR(__xludf.DUMMYFUNCTION("IFERROR(
  IF(LEN(TRIM(B445))=6,
    DATE(2000+VALUE(RIGHT(TRIM(B445),2)),MATCH(LEFT(TRIM(B445),3),{""Jan"",""Feb"",""Mar"",""Apr"",""May"",""Jun"",""Jul"",""Aug"",""Sep"",""Oct"",""Nov"",""Dec""},0),15),
  IF(REGEXMATCH(TRIM(B445),""^\d{2}[/-]\d{2}[/-]\d"&amp;"{4}$""),
    DATE(VALUE(RIGHT(TRIM(B445),4)),VALUE(MID(TRIM(B445),4,2)),VALUE(LEFT(TRIM(B445),2))),
  DATEVALUE(TRIM(B445)))),
""CHECK"")"),45453.0)</f>
        <v>45453</v>
      </c>
      <c r="R445" s="2" t="str">
        <f t="shared" si="2"/>
        <v>Jun</v>
      </c>
      <c r="S445" s="2" t="str">
        <f t="shared" si="3"/>
        <v>Q2</v>
      </c>
      <c r="T445" s="2">
        <f t="shared" si="4"/>
        <v>5572.58</v>
      </c>
    </row>
    <row r="446">
      <c r="A446" s="5" t="s">
        <v>1033</v>
      </c>
      <c r="B446" s="5" t="s">
        <v>520</v>
      </c>
      <c r="C446" s="5" t="s">
        <v>34</v>
      </c>
      <c r="D446" s="5" t="s">
        <v>82</v>
      </c>
      <c r="E446" s="5" t="s">
        <v>82</v>
      </c>
      <c r="F446" s="5" t="s">
        <v>193</v>
      </c>
      <c r="G446" s="5">
        <v>17167.63</v>
      </c>
      <c r="H446" s="5" t="s">
        <v>26</v>
      </c>
      <c r="I446" s="5" t="s">
        <v>147</v>
      </c>
      <c r="J446" s="5" t="s">
        <v>38</v>
      </c>
      <c r="K446" s="5" t="s">
        <v>39</v>
      </c>
      <c r="L446" s="5"/>
      <c r="N446" s="2" t="str">
        <f t="shared" si="1"/>
        <v>Engineering</v>
      </c>
      <c r="O446" s="6">
        <f>IFERROR(__xludf.DUMMYFUNCTION("IFERROR(
  IF(LEN(TRIM(B446))=6,
    DATE(2000+VALUE(RIGHT(TRIM(B446),2)),MATCH(LEFT(TRIM(B446),3),{""Jan"",""Feb"",""Mar"",""Apr"",""May"",""Jun"",""Jul"",""Aug"",""Sep"",""Oct"",""Nov"",""Dec""},0),15),
  IF(REGEXMATCH(TRIM(B446),""^\d{2}[/-]\d{2}[/-]\d"&amp;"{4}$""),
    DATE(VALUE(RIGHT(TRIM(B446),4)),VALUE(MID(TRIM(B446),4,2)),VALUE(LEFT(TRIM(B446),2))),
  DATEVALUE(TRIM(B446)))),
""CHECK"")"),45655.0)</f>
        <v>45655</v>
      </c>
      <c r="R446" s="2" t="str">
        <f t="shared" si="2"/>
        <v>Dec</v>
      </c>
      <c r="S446" s="2" t="str">
        <f t="shared" si="3"/>
        <v>Q4</v>
      </c>
      <c r="T446" s="2">
        <f t="shared" si="4"/>
        <v>17167.63</v>
      </c>
    </row>
    <row r="447">
      <c r="A447" s="7" t="s">
        <v>1034</v>
      </c>
      <c r="B447" s="7" t="s">
        <v>350</v>
      </c>
      <c r="C447" s="7" t="s">
        <v>34</v>
      </c>
      <c r="D447" s="7" t="s">
        <v>51</v>
      </c>
      <c r="E447" s="7" t="s">
        <v>68</v>
      </c>
      <c r="F447" s="7" t="s">
        <v>809</v>
      </c>
      <c r="G447" s="7">
        <v>23781.25</v>
      </c>
      <c r="H447" s="7" t="s">
        <v>26</v>
      </c>
      <c r="I447" s="7" t="s">
        <v>237</v>
      </c>
      <c r="J447" s="7" t="s">
        <v>66</v>
      </c>
      <c r="K447" s="7" t="s">
        <v>67</v>
      </c>
      <c r="L447" s="7"/>
      <c r="N447" s="2" t="str">
        <f t="shared" si="1"/>
        <v>Customer Success</v>
      </c>
      <c r="O447" s="6">
        <f>IFERROR(__xludf.DUMMYFUNCTION("IFERROR(
  IF(LEN(TRIM(B447))=6,
    DATE(2000+VALUE(RIGHT(TRIM(B447),2)),MATCH(LEFT(TRIM(B447),3),{""Jan"",""Feb"",""Mar"",""Apr"",""May"",""Jun"",""Jul"",""Aug"",""Sep"",""Oct"",""Nov"",""Dec""},0),15),
  IF(REGEXMATCH(TRIM(B447),""^\d{2}[/-]\d{2}[/-]\d"&amp;"{4}$""),
    DATE(VALUE(RIGHT(TRIM(B447),4)),VALUE(MID(TRIM(B447),4,2)),VALUE(LEFT(TRIM(B447),2))),
  DATEVALUE(TRIM(B447)))),
""CHECK"")"),45407.0)</f>
        <v>45407</v>
      </c>
      <c r="R447" s="2" t="str">
        <f t="shared" si="2"/>
        <v>Apr</v>
      </c>
      <c r="S447" s="2" t="str">
        <f t="shared" si="3"/>
        <v>Q2</v>
      </c>
      <c r="T447" s="2">
        <f t="shared" si="4"/>
        <v>23781.25</v>
      </c>
    </row>
    <row r="448">
      <c r="A448" s="5" t="s">
        <v>1035</v>
      </c>
      <c r="B448" s="5" t="s">
        <v>1036</v>
      </c>
      <c r="C448" s="5" t="s">
        <v>22</v>
      </c>
      <c r="D448" s="5" t="s">
        <v>23</v>
      </c>
      <c r="E448" s="5" t="s">
        <v>24</v>
      </c>
      <c r="F448" s="5" t="s">
        <v>25</v>
      </c>
      <c r="G448" s="5">
        <v>497286.26</v>
      </c>
      <c r="H448" s="5" t="s">
        <v>26</v>
      </c>
      <c r="I448" s="5" t="s">
        <v>134</v>
      </c>
      <c r="J448" s="5" t="s">
        <v>73</v>
      </c>
      <c r="K448" s="5" t="s">
        <v>59</v>
      </c>
      <c r="L448" s="5"/>
      <c r="N448" s="2" t="str">
        <f t="shared" si="1"/>
        <v>Sales</v>
      </c>
      <c r="O448" s="6">
        <f>IFERROR(__xludf.DUMMYFUNCTION("IFERROR(
  IF(LEN(TRIM(B448))=6,
    DATE(2000+VALUE(RIGHT(TRIM(B448),2)),MATCH(LEFT(TRIM(B448),3),{""Jan"",""Feb"",""Mar"",""Apr"",""May"",""Jun"",""Jul"",""Aug"",""Sep"",""Oct"",""Nov"",""Dec""},0),15),
  IF(REGEXMATCH(TRIM(B448),""^\d{2}[/-]\d{2}[/-]\d"&amp;"{4}$""),
    DATE(VALUE(RIGHT(TRIM(B448),4)),VALUE(MID(TRIM(B448),4,2)),VALUE(LEFT(TRIM(B448),2))),
  DATEVALUE(TRIM(B448)))),
""CHECK"")"),45556.0)</f>
        <v>45556</v>
      </c>
      <c r="R448" s="2" t="str">
        <f t="shared" si="2"/>
        <v>Sep</v>
      </c>
      <c r="S448" s="2" t="str">
        <f t="shared" si="3"/>
        <v>Q3</v>
      </c>
      <c r="T448" s="2">
        <f t="shared" si="4"/>
        <v>497286.26</v>
      </c>
    </row>
    <row r="449">
      <c r="A449" s="7" t="s">
        <v>1037</v>
      </c>
      <c r="B449" s="7" t="s">
        <v>1038</v>
      </c>
      <c r="C449" s="7" t="s">
        <v>34</v>
      </c>
      <c r="D449" s="7" t="s">
        <v>82</v>
      </c>
      <c r="E449" s="7" t="s">
        <v>94</v>
      </c>
      <c r="F449" s="7" t="s">
        <v>640</v>
      </c>
      <c r="G449" s="7">
        <v>82156.2</v>
      </c>
      <c r="H449" s="7" t="s">
        <v>26</v>
      </c>
      <c r="I449" s="7" t="s">
        <v>37</v>
      </c>
      <c r="J449" s="7" t="s">
        <v>28</v>
      </c>
      <c r="K449" s="7" t="s">
        <v>29</v>
      </c>
      <c r="L449" s="7"/>
      <c r="N449" s="2" t="str">
        <f t="shared" si="1"/>
        <v>Engineering</v>
      </c>
      <c r="O449" s="6">
        <f>IFERROR(__xludf.DUMMYFUNCTION("IFERROR(
  IF(LEN(TRIM(B449))=6,
    DATE(2000+VALUE(RIGHT(TRIM(B449),2)),MATCH(LEFT(TRIM(B449),3),{""Jan"",""Feb"",""Mar"",""Apr"",""May"",""Jun"",""Jul"",""Aug"",""Sep"",""Oct"",""Nov"",""Dec""},0),15),
  IF(REGEXMATCH(TRIM(B449),""^\d{2}[/-]\d{2}[/-]\d"&amp;"{4}$""),
    DATE(VALUE(RIGHT(TRIM(B449),4)),VALUE(MID(TRIM(B449),4,2)),VALUE(LEFT(TRIM(B449),2))),
  DATEVALUE(TRIM(B449)))),
""CHECK"")"),45413.0)</f>
        <v>45413</v>
      </c>
      <c r="R449" s="2" t="str">
        <f t="shared" si="2"/>
        <v>May</v>
      </c>
      <c r="S449" s="2" t="str">
        <f t="shared" si="3"/>
        <v>Q2</v>
      </c>
      <c r="T449" s="2">
        <f t="shared" si="4"/>
        <v>82156.2</v>
      </c>
    </row>
    <row r="450">
      <c r="A450" s="5" t="s">
        <v>1039</v>
      </c>
      <c r="B450" s="5" t="s">
        <v>1040</v>
      </c>
      <c r="C450" s="5" t="s">
        <v>22</v>
      </c>
      <c r="D450" s="5" t="s">
        <v>85</v>
      </c>
      <c r="E450" s="5" t="s">
        <v>97</v>
      </c>
      <c r="F450" s="5" t="s">
        <v>250</v>
      </c>
      <c r="G450" s="5">
        <v>16053.82</v>
      </c>
      <c r="H450" s="5" t="s">
        <v>26</v>
      </c>
      <c r="I450" s="5" t="s">
        <v>27</v>
      </c>
      <c r="J450" s="5" t="s">
        <v>58</v>
      </c>
      <c r="K450" s="5" t="s">
        <v>59</v>
      </c>
      <c r="L450" s="5"/>
      <c r="N450" s="2" t="str">
        <f t="shared" si="1"/>
        <v>Sales</v>
      </c>
      <c r="O450" s="6">
        <f>IFERROR(__xludf.DUMMYFUNCTION("IFERROR(
  IF(LEN(TRIM(B450))=6,
    DATE(2000+VALUE(RIGHT(TRIM(B450),2)),MATCH(LEFT(TRIM(B450),3),{""Jan"",""Feb"",""Mar"",""Apr"",""May"",""Jun"",""Jul"",""Aug"",""Sep"",""Oct"",""Nov"",""Dec""},0),15),
  IF(REGEXMATCH(TRIM(B450),""^\d{2}[/-]\d{2}[/-]\d"&amp;"{4}$""),
    DATE(VALUE(RIGHT(TRIM(B450),4)),VALUE(MID(TRIM(B450),4,2)),VALUE(LEFT(TRIM(B450),2))),
  DATEVALUE(TRIM(B450)))),
""CHECK"")"),45695.0)</f>
        <v>45695</v>
      </c>
      <c r="R450" s="2" t="str">
        <f t="shared" si="2"/>
        <v>Feb</v>
      </c>
      <c r="S450" s="2" t="str">
        <f t="shared" si="3"/>
        <v>Q1</v>
      </c>
      <c r="T450" s="2">
        <f t="shared" si="4"/>
        <v>16053.82</v>
      </c>
    </row>
    <row r="451">
      <c r="A451" s="7" t="s">
        <v>1041</v>
      </c>
      <c r="B451" s="7" t="s">
        <v>295</v>
      </c>
      <c r="C451" s="7" t="s">
        <v>34</v>
      </c>
      <c r="D451" s="7" t="s">
        <v>90</v>
      </c>
      <c r="E451" s="7" t="s">
        <v>114</v>
      </c>
      <c r="F451" s="7" t="s">
        <v>183</v>
      </c>
      <c r="G451" s="7">
        <v>12723.46</v>
      </c>
      <c r="H451" s="7" t="s">
        <v>26</v>
      </c>
      <c r="I451" s="7" t="s">
        <v>37</v>
      </c>
      <c r="J451" s="7" t="s">
        <v>87</v>
      </c>
      <c r="K451" s="7" t="s">
        <v>67</v>
      </c>
      <c r="L451" s="7"/>
      <c r="N451" s="2" t="str">
        <f t="shared" si="1"/>
        <v>G&amp;A</v>
      </c>
      <c r="O451" s="6">
        <f>IFERROR(__xludf.DUMMYFUNCTION("IFERROR(
  IF(LEN(TRIM(B451))=6,
    DATE(2000+VALUE(RIGHT(TRIM(B451),2)),MATCH(LEFT(TRIM(B451),3),{""Jan"",""Feb"",""Mar"",""Apr"",""May"",""Jun"",""Jul"",""Aug"",""Sep"",""Oct"",""Nov"",""Dec""},0),15),
  IF(REGEXMATCH(TRIM(B451),""^\d{2}[/-]\d{2}[/-]\d"&amp;"{4}$""),
    DATE(VALUE(RIGHT(TRIM(B451),4)),VALUE(MID(TRIM(B451),4,2)),VALUE(LEFT(TRIM(B451),2))),
  DATEVALUE(TRIM(B451)))),
""CHECK"")"),45427.0)</f>
        <v>45427</v>
      </c>
      <c r="R451" s="2" t="str">
        <f t="shared" si="2"/>
        <v>May</v>
      </c>
      <c r="S451" s="2" t="str">
        <f t="shared" si="3"/>
        <v>Q2</v>
      </c>
      <c r="T451" s="2">
        <f t="shared" si="4"/>
        <v>12723.46</v>
      </c>
    </row>
    <row r="452">
      <c r="A452" s="5" t="s">
        <v>1042</v>
      </c>
      <c r="B452" s="5" t="s">
        <v>1043</v>
      </c>
      <c r="C452" s="5" t="s">
        <v>34</v>
      </c>
      <c r="D452" s="5" t="s">
        <v>111</v>
      </c>
      <c r="E452" s="5" t="s">
        <v>63</v>
      </c>
      <c r="F452" s="5" t="s">
        <v>180</v>
      </c>
      <c r="G452" s="5">
        <v>23957.92</v>
      </c>
      <c r="H452" s="5" t="s">
        <v>26</v>
      </c>
      <c r="I452" s="5" t="s">
        <v>147</v>
      </c>
      <c r="J452" s="5" t="s">
        <v>87</v>
      </c>
      <c r="K452" s="5" t="s">
        <v>67</v>
      </c>
      <c r="L452" s="5"/>
      <c r="N452" s="2" t="str">
        <f t="shared" si="1"/>
        <v>Sales</v>
      </c>
      <c r="O452" s="6">
        <f>IFERROR(__xludf.DUMMYFUNCTION("IFERROR(
  IF(LEN(TRIM(B452))=6,
    DATE(2000+VALUE(RIGHT(TRIM(B452),2)),MATCH(LEFT(TRIM(B452),3),{""Jan"",""Feb"",""Mar"",""Apr"",""May"",""Jun"",""Jul"",""Aug"",""Sep"",""Oct"",""Nov"",""Dec""},0),15),
  IF(REGEXMATCH(TRIM(B452),""^\d{2}[/-]\d{2}[/-]\d"&amp;"{4}$""),
    DATE(VALUE(RIGHT(TRIM(B452),4)),VALUE(MID(TRIM(B452),4,2)),VALUE(LEFT(TRIM(B452),2))),
  DATEVALUE(TRIM(B452)))),
""CHECK"")"),45423.0)</f>
        <v>45423</v>
      </c>
      <c r="R452" s="2" t="str">
        <f t="shared" si="2"/>
        <v>May</v>
      </c>
      <c r="S452" s="2" t="str">
        <f t="shared" si="3"/>
        <v>Q2</v>
      </c>
      <c r="T452" s="2">
        <f t="shared" si="4"/>
        <v>23957.92</v>
      </c>
    </row>
    <row r="453">
      <c r="A453" s="7" t="s">
        <v>1044</v>
      </c>
      <c r="B453" s="7" t="s">
        <v>1045</v>
      </c>
      <c r="C453" s="7" t="s">
        <v>22</v>
      </c>
      <c r="D453" s="7" t="s">
        <v>85</v>
      </c>
      <c r="E453" s="7" t="s">
        <v>63</v>
      </c>
      <c r="F453" s="7" t="s">
        <v>253</v>
      </c>
      <c r="G453" s="7">
        <v>15008.87</v>
      </c>
      <c r="H453" s="7" t="s">
        <v>26</v>
      </c>
      <c r="I453" s="7" t="s">
        <v>65</v>
      </c>
      <c r="J453" s="7" t="s">
        <v>66</v>
      </c>
      <c r="K453" s="7" t="s">
        <v>67</v>
      </c>
      <c r="L453" s="7"/>
      <c r="N453" s="2" t="str">
        <f t="shared" si="1"/>
        <v>Sales</v>
      </c>
      <c r="O453" s="6">
        <f>IFERROR(__xludf.DUMMYFUNCTION("IFERROR(
  IF(LEN(TRIM(B453))=6,
    DATE(2000+VALUE(RIGHT(TRIM(B453),2)),MATCH(LEFT(TRIM(B453),3),{""Jan"",""Feb"",""Mar"",""Apr"",""May"",""Jun"",""Jul"",""Aug"",""Sep"",""Oct"",""Nov"",""Dec""},0),15),
  IF(REGEXMATCH(TRIM(B453),""^\d{2}[/-]\d{2}[/-]\d"&amp;"{4}$""),
    DATE(VALUE(RIGHT(TRIM(B453),4)),VALUE(MID(TRIM(B453),4,2)),VALUE(LEFT(TRIM(B453),2))),
  DATEVALUE(TRIM(B453)))),
""CHECK"")"),45934.0)</f>
        <v>45934</v>
      </c>
      <c r="R453" s="2" t="str">
        <f t="shared" si="2"/>
        <v>Oct</v>
      </c>
      <c r="S453" s="2" t="str">
        <f t="shared" si="3"/>
        <v>Q4</v>
      </c>
      <c r="T453" s="2">
        <f t="shared" si="4"/>
        <v>15008.87</v>
      </c>
    </row>
    <row r="454">
      <c r="A454" s="5" t="s">
        <v>1046</v>
      </c>
      <c r="B454" s="5" t="s">
        <v>1047</v>
      </c>
      <c r="C454" s="5" t="s">
        <v>34</v>
      </c>
      <c r="D454" s="5" t="s">
        <v>54</v>
      </c>
      <c r="E454" s="5" t="s">
        <v>124</v>
      </c>
      <c r="F454" s="5" t="s">
        <v>730</v>
      </c>
      <c r="G454" s="5">
        <v>21200.87</v>
      </c>
      <c r="H454" s="5" t="s">
        <v>26</v>
      </c>
      <c r="I454" s="5" t="s">
        <v>80</v>
      </c>
      <c r="J454" s="5" t="s">
        <v>73</v>
      </c>
      <c r="K454" s="5" t="s">
        <v>59</v>
      </c>
      <c r="L454" s="5"/>
      <c r="N454" s="2" t="str">
        <f t="shared" si="1"/>
        <v>Marketing</v>
      </c>
      <c r="O454" s="6">
        <f>IFERROR(__xludf.DUMMYFUNCTION("IFERROR(
  IF(LEN(TRIM(B454))=6,
    DATE(2000+VALUE(RIGHT(TRIM(B454),2)),MATCH(LEFT(TRIM(B454),3),{""Jan"",""Feb"",""Mar"",""Apr"",""May"",""Jun"",""Jul"",""Aug"",""Sep"",""Oct"",""Nov"",""Dec""},0),15),
  IF(REGEXMATCH(TRIM(B454),""^\d{2}[/-]\d{2}[/-]\d"&amp;"{4}$""),
    DATE(VALUE(RIGHT(TRIM(B454),4)),VALUE(MID(TRIM(B454),4,2)),VALUE(LEFT(TRIM(B454),2))),
  DATEVALUE(TRIM(B454)))),
""CHECK"")"),45549.0)</f>
        <v>45549</v>
      </c>
      <c r="R454" s="2" t="str">
        <f t="shared" si="2"/>
        <v>Sep</v>
      </c>
      <c r="S454" s="2" t="str">
        <f t="shared" si="3"/>
        <v>Q3</v>
      </c>
      <c r="T454" s="2">
        <f t="shared" si="4"/>
        <v>21200.87</v>
      </c>
    </row>
    <row r="455">
      <c r="A455" s="7" t="s">
        <v>1048</v>
      </c>
      <c r="B455" s="7" t="s">
        <v>1049</v>
      </c>
      <c r="C455" s="7" t="s">
        <v>34</v>
      </c>
      <c r="D455" s="7" t="s">
        <v>90</v>
      </c>
      <c r="E455" s="7" t="s">
        <v>104</v>
      </c>
      <c r="F455" s="7" t="s">
        <v>377</v>
      </c>
      <c r="G455" s="7">
        <v>10315.44</v>
      </c>
      <c r="H455" s="7" t="s">
        <v>26</v>
      </c>
      <c r="I455" s="7" t="s">
        <v>37</v>
      </c>
      <c r="J455" s="7" t="s">
        <v>142</v>
      </c>
      <c r="K455" s="7" t="s">
        <v>39</v>
      </c>
      <c r="L455" s="7"/>
      <c r="N455" s="2" t="str">
        <f t="shared" si="1"/>
        <v>G&amp;A</v>
      </c>
      <c r="O455" s="6">
        <f>IFERROR(__xludf.DUMMYFUNCTION("IFERROR(
  IF(LEN(TRIM(B455))=6,
    DATE(2000+VALUE(RIGHT(TRIM(B455),2)),MATCH(LEFT(TRIM(B455),3),{""Jan"",""Feb"",""Mar"",""Apr"",""May"",""Jun"",""Jul"",""Aug"",""Sep"",""Oct"",""Nov"",""Dec""},0),15),
  IF(REGEXMATCH(TRIM(B455),""^\d{2}[/-]\d{2}[/-]\d"&amp;"{4}$""),
    DATE(VALUE(RIGHT(TRIM(B455),4)),VALUE(MID(TRIM(B455),4,2)),VALUE(LEFT(TRIM(B455),2))),
  DATEVALUE(TRIM(B455)))),
""CHECK"")"),46123.0)</f>
        <v>46123</v>
      </c>
      <c r="R455" s="2" t="str">
        <f t="shared" si="2"/>
        <v>Apr</v>
      </c>
      <c r="S455" s="2" t="str">
        <f t="shared" si="3"/>
        <v>Q2</v>
      </c>
      <c r="T455" s="2">
        <f t="shared" si="4"/>
        <v>10315.44</v>
      </c>
    </row>
    <row r="456">
      <c r="A456" s="5" t="s">
        <v>1050</v>
      </c>
      <c r="B456" s="5" t="s">
        <v>1051</v>
      </c>
      <c r="C456" s="5" t="s">
        <v>34</v>
      </c>
      <c r="D456" s="5" t="s">
        <v>31</v>
      </c>
      <c r="E456" s="5" t="s">
        <v>145</v>
      </c>
      <c r="F456" s="5" t="s">
        <v>1052</v>
      </c>
      <c r="G456" s="5">
        <v>-10775.08</v>
      </c>
      <c r="H456" s="5" t="s">
        <v>26</v>
      </c>
      <c r="I456" s="5" t="s">
        <v>48</v>
      </c>
      <c r="J456" s="5" t="s">
        <v>126</v>
      </c>
      <c r="K456" s="5" t="s">
        <v>29</v>
      </c>
      <c r="L456" s="5"/>
      <c r="N456" s="2" t="str">
        <f t="shared" si="1"/>
        <v>Cloud Infrastructure</v>
      </c>
      <c r="O456" s="6">
        <f>IFERROR(__xludf.DUMMYFUNCTION("IFERROR(
  IF(LEN(TRIM(B456))=6,
    DATE(2000+VALUE(RIGHT(TRIM(B456),2)),MATCH(LEFT(TRIM(B456),3),{""Jan"",""Feb"",""Mar"",""Apr"",""May"",""Jun"",""Jul"",""Aug"",""Sep"",""Oct"",""Nov"",""Dec""},0),15),
  IF(REGEXMATCH(TRIM(B456),""^\d{2}[/-]\d{2}[/-]\d"&amp;"{4}$""),
    DATE(VALUE(RIGHT(TRIM(B456),4)),VALUE(MID(TRIM(B456),4,2)),VALUE(LEFT(TRIM(B456),2))),
  DATEVALUE(TRIM(B456)))),
""CHECK"")"),45348.0)</f>
        <v>45348</v>
      </c>
      <c r="R456" s="2" t="str">
        <f t="shared" si="2"/>
        <v>Feb</v>
      </c>
      <c r="S456" s="2" t="str">
        <f t="shared" si="3"/>
        <v>Q1</v>
      </c>
      <c r="T456" s="2">
        <f t="shared" si="4"/>
        <v>-10775.08</v>
      </c>
    </row>
    <row r="457">
      <c r="A457" s="7" t="s">
        <v>1053</v>
      </c>
      <c r="B457" s="7" t="s">
        <v>1054</v>
      </c>
      <c r="C457" s="7" t="s">
        <v>34</v>
      </c>
      <c r="D457" s="7" t="s">
        <v>54</v>
      </c>
      <c r="E457" s="7" t="s">
        <v>124</v>
      </c>
      <c r="F457" s="7" t="s">
        <v>56</v>
      </c>
      <c r="G457" s="7">
        <v>27988.84</v>
      </c>
      <c r="H457" s="7" t="s">
        <v>26</v>
      </c>
      <c r="I457" s="7" t="s">
        <v>57</v>
      </c>
      <c r="J457" s="7" t="s">
        <v>38</v>
      </c>
      <c r="K457" s="7" t="s">
        <v>39</v>
      </c>
      <c r="L457" s="7"/>
      <c r="N457" s="2" t="str">
        <f t="shared" si="1"/>
        <v>Marketing</v>
      </c>
      <c r="O457" s="6">
        <f>IFERROR(__xludf.DUMMYFUNCTION("IFERROR(
  IF(LEN(TRIM(B457))=6,
    DATE(2000+VALUE(RIGHT(TRIM(B457),2)),MATCH(LEFT(TRIM(B457),3),{""Jan"",""Feb"",""Mar"",""Apr"",""May"",""Jun"",""Jul"",""Aug"",""Sep"",""Oct"",""Nov"",""Dec""},0),15),
  IF(REGEXMATCH(TRIM(B457),""^\d{2}[/-]\d{2}[/-]\d"&amp;"{4}$""),
    DATE(VALUE(RIGHT(TRIM(B457),4)),VALUE(MID(TRIM(B457),4,2)),VALUE(LEFT(TRIM(B457),2))),
  DATEVALUE(TRIM(B457)))),
""CHECK"")"),45700.0)</f>
        <v>45700</v>
      </c>
      <c r="R457" s="2" t="str">
        <f t="shared" si="2"/>
        <v>Feb</v>
      </c>
      <c r="S457" s="2" t="str">
        <f t="shared" si="3"/>
        <v>Q1</v>
      </c>
      <c r="T457" s="2">
        <f t="shared" si="4"/>
        <v>27988.84</v>
      </c>
    </row>
    <row r="458">
      <c r="A458" s="5" t="s">
        <v>1055</v>
      </c>
      <c r="B458" s="5" t="s">
        <v>1056</v>
      </c>
      <c r="C458" s="5" t="s">
        <v>22</v>
      </c>
      <c r="D458" s="5" t="s">
        <v>23</v>
      </c>
      <c r="E458" s="5" t="s">
        <v>111</v>
      </c>
      <c r="F458" s="5" t="s">
        <v>940</v>
      </c>
      <c r="G458" s="5">
        <v>201136.08</v>
      </c>
      <c r="H458" s="5" t="s">
        <v>26</v>
      </c>
      <c r="I458" s="5" t="s">
        <v>72</v>
      </c>
      <c r="J458" s="5" t="s">
        <v>142</v>
      </c>
      <c r="K458" s="5" t="s">
        <v>39</v>
      </c>
      <c r="L458" s="5"/>
      <c r="N458" s="2" t="str">
        <f t="shared" si="1"/>
        <v>Sales</v>
      </c>
      <c r="O458" s="6">
        <f>IFERROR(__xludf.DUMMYFUNCTION("IFERROR(
  IF(LEN(TRIM(B458))=6,
    DATE(2000+VALUE(RIGHT(TRIM(B458),2)),MATCH(LEFT(TRIM(B458),3),{""Jan"",""Feb"",""Mar"",""Apr"",""May"",""Jun"",""Jul"",""Aug"",""Sep"",""Oct"",""Nov"",""Dec""},0),15),
  IF(REGEXMATCH(TRIM(B458),""^\d{2}[/-]\d{2}[/-]\d"&amp;"{4}$""),
    DATE(VALUE(RIGHT(TRIM(B458),4)),VALUE(MID(TRIM(B458),4,2)),VALUE(LEFT(TRIM(B458),2))),
  DATEVALUE(TRIM(B458)))),
""CHECK"")"),45600.0)</f>
        <v>45600</v>
      </c>
      <c r="R458" s="2" t="str">
        <f t="shared" si="2"/>
        <v>Nov</v>
      </c>
      <c r="S458" s="2" t="str">
        <f t="shared" si="3"/>
        <v>Q4</v>
      </c>
      <c r="T458" s="2">
        <f t="shared" si="4"/>
        <v>201136.08</v>
      </c>
    </row>
    <row r="459">
      <c r="A459" s="7" t="s">
        <v>1057</v>
      </c>
      <c r="B459" s="7" t="s">
        <v>843</v>
      </c>
      <c r="C459" s="7" t="s">
        <v>34</v>
      </c>
      <c r="D459" s="7" t="s">
        <v>90</v>
      </c>
      <c r="E459" s="7" t="s">
        <v>114</v>
      </c>
      <c r="F459" s="7" t="s">
        <v>623</v>
      </c>
      <c r="G459" s="7">
        <v>36677.71</v>
      </c>
      <c r="H459" s="7" t="s">
        <v>26</v>
      </c>
      <c r="I459" s="7" t="s">
        <v>93</v>
      </c>
      <c r="J459" s="7" t="s">
        <v>49</v>
      </c>
      <c r="K459" s="7" t="s">
        <v>39</v>
      </c>
      <c r="L459" s="7"/>
      <c r="N459" s="2" t="str">
        <f t="shared" si="1"/>
        <v>G&amp;A</v>
      </c>
      <c r="O459" s="6">
        <f>IFERROR(__xludf.DUMMYFUNCTION("IFERROR(
  IF(LEN(TRIM(B459))=6,
    DATE(2000+VALUE(RIGHT(TRIM(B459),2)),MATCH(LEFT(TRIM(B459),3),{""Jan"",""Feb"",""Mar"",""Apr"",""May"",""Jun"",""Jul"",""Aug"",""Sep"",""Oct"",""Nov"",""Dec""},0),15),
  IF(REGEXMATCH(TRIM(B459),""^\d{2}[/-]\d{2}[/-]\d"&amp;"{4}$""),
    DATE(VALUE(RIGHT(TRIM(B459),4)),VALUE(MID(TRIM(B459),4,2)),VALUE(LEFT(TRIM(B459),2))),
  DATEVALUE(TRIM(B459)))),
""CHECK"")"),45571.0)</f>
        <v>45571</v>
      </c>
      <c r="R459" s="2" t="str">
        <f t="shared" si="2"/>
        <v>Oct</v>
      </c>
      <c r="S459" s="2" t="str">
        <f t="shared" si="3"/>
        <v>Q4</v>
      </c>
      <c r="T459" s="2">
        <f t="shared" si="4"/>
        <v>36677.71</v>
      </c>
    </row>
    <row r="460">
      <c r="A460" s="5" t="s">
        <v>1058</v>
      </c>
      <c r="B460" s="5" t="s">
        <v>1059</v>
      </c>
      <c r="C460" s="5" t="s">
        <v>34</v>
      </c>
      <c r="D460" s="5" t="s">
        <v>90</v>
      </c>
      <c r="E460" s="5" t="s">
        <v>90</v>
      </c>
      <c r="F460" s="5" t="s">
        <v>995</v>
      </c>
      <c r="G460" s="5">
        <v>9309.53</v>
      </c>
      <c r="H460" s="5" t="s">
        <v>26</v>
      </c>
      <c r="I460" s="5" t="s">
        <v>206</v>
      </c>
      <c r="J460" s="5" t="s">
        <v>44</v>
      </c>
      <c r="K460" s="5" t="s">
        <v>29</v>
      </c>
      <c r="L460" s="5"/>
      <c r="N460" s="2" t="str">
        <f t="shared" si="1"/>
        <v>G&amp;A</v>
      </c>
      <c r="O460" s="6">
        <f>IFERROR(__xludf.DUMMYFUNCTION("IFERROR(
  IF(LEN(TRIM(B460))=6,
    DATE(2000+VALUE(RIGHT(TRIM(B460),2)),MATCH(LEFT(TRIM(B460),3),{""Jan"",""Feb"",""Mar"",""Apr"",""May"",""Jun"",""Jul"",""Aug"",""Sep"",""Oct"",""Nov"",""Dec""},0),15),
  IF(REGEXMATCH(TRIM(B460),""^\d{2}[/-]\d{2}[/-]\d"&amp;"{4}$""),
    DATE(VALUE(RIGHT(TRIM(B460),4)),VALUE(MID(TRIM(B460),4,2)),VALUE(LEFT(TRIM(B460),2))),
  DATEVALUE(TRIM(B460)))),
""CHECK"")"),45368.0)</f>
        <v>45368</v>
      </c>
      <c r="R460" s="2" t="str">
        <f t="shared" si="2"/>
        <v>Mar</v>
      </c>
      <c r="S460" s="2" t="str">
        <f t="shared" si="3"/>
        <v>Q1</v>
      </c>
      <c r="T460" s="2">
        <f t="shared" si="4"/>
        <v>9309.53</v>
      </c>
    </row>
    <row r="461">
      <c r="A461" s="7" t="s">
        <v>1060</v>
      </c>
      <c r="B461" s="7" t="s">
        <v>851</v>
      </c>
      <c r="C461" s="7" t="s">
        <v>34</v>
      </c>
      <c r="D461" s="7" t="s">
        <v>111</v>
      </c>
      <c r="E461" s="7" t="s">
        <v>97</v>
      </c>
      <c r="F461" s="7" t="s">
        <v>432</v>
      </c>
      <c r="G461" s="7">
        <v>16705.49</v>
      </c>
      <c r="H461" s="7" t="s">
        <v>26</v>
      </c>
      <c r="I461" s="7" t="s">
        <v>57</v>
      </c>
      <c r="J461" s="7" t="s">
        <v>28</v>
      </c>
      <c r="K461" s="7" t="s">
        <v>29</v>
      </c>
      <c r="L461" s="7"/>
      <c r="N461" s="2" t="str">
        <f t="shared" si="1"/>
        <v>Sales</v>
      </c>
      <c r="O461" s="6">
        <f>IFERROR(__xludf.DUMMYFUNCTION("IFERROR(
  IF(LEN(TRIM(B461))=6,
    DATE(2000+VALUE(RIGHT(TRIM(B461),2)),MATCH(LEFT(TRIM(B461),3),{""Jan"",""Feb"",""Mar"",""Apr"",""May"",""Jun"",""Jul"",""Aug"",""Sep"",""Oct"",""Nov"",""Dec""},0),15),
  IF(REGEXMATCH(TRIM(B461),""^\d{2}[/-]\d{2}[/-]\d"&amp;"{4}$""),
    DATE(VALUE(RIGHT(TRIM(B461),4)),VALUE(MID(TRIM(B461),4,2)),VALUE(LEFT(TRIM(B461),2))),
  DATEVALUE(TRIM(B461)))),
""CHECK"")"),46143.0)</f>
        <v>46143</v>
      </c>
      <c r="R461" s="2" t="str">
        <f t="shared" si="2"/>
        <v>May</v>
      </c>
      <c r="S461" s="2" t="str">
        <f t="shared" si="3"/>
        <v>Q2</v>
      </c>
      <c r="T461" s="2">
        <f t="shared" si="4"/>
        <v>16705.49</v>
      </c>
    </row>
    <row r="462">
      <c r="A462" s="5" t="s">
        <v>1061</v>
      </c>
      <c r="B462" s="5" t="s">
        <v>770</v>
      </c>
      <c r="C462" s="11" t="s">
        <v>489</v>
      </c>
      <c r="D462" s="5" t="s">
        <v>62</v>
      </c>
      <c r="E462" s="5" t="s">
        <v>97</v>
      </c>
      <c r="F462" s="5" t="s">
        <v>284</v>
      </c>
      <c r="G462" s="5">
        <v>-6030.69</v>
      </c>
      <c r="H462" s="5" t="s">
        <v>26</v>
      </c>
      <c r="I462" s="5" t="s">
        <v>134</v>
      </c>
      <c r="J462" s="5" t="s">
        <v>108</v>
      </c>
      <c r="K462" s="5" t="s">
        <v>59</v>
      </c>
      <c r="L462" s="5" t="s">
        <v>1062</v>
      </c>
      <c r="N462" s="2" t="str">
        <f t="shared" si="1"/>
        <v>Sales</v>
      </c>
      <c r="O462" s="6">
        <f>IFERROR(__xludf.DUMMYFUNCTION("IFERROR(
  IF(LEN(TRIM(B462))=6,
    DATE(2000+VALUE(RIGHT(TRIM(B462),2)),MATCH(LEFT(TRIM(B462),3),{""Jan"",""Feb"",""Mar"",""Apr"",""May"",""Jun"",""Jul"",""Aug"",""Sep"",""Oct"",""Nov"",""Dec""},0),15),
  IF(REGEXMATCH(TRIM(B462),""^\d{2}[/-]\d{2}[/-]\d"&amp;"{4}$""),
    DATE(VALUE(RIGHT(TRIM(B462),4)),VALUE(MID(TRIM(B462),4,2)),VALUE(LEFT(TRIM(B462),2))),
  DATEVALUE(TRIM(B462)))),
""CHECK"")"),45512.0)</f>
        <v>45512</v>
      </c>
      <c r="R462" s="2" t="str">
        <f t="shared" si="2"/>
        <v>Aug</v>
      </c>
      <c r="S462" s="2" t="str">
        <f t="shared" si="3"/>
        <v>Q3</v>
      </c>
      <c r="T462" s="2">
        <f t="shared" si="4"/>
        <v>-6030.69</v>
      </c>
    </row>
    <row r="463">
      <c r="A463" s="7" t="s">
        <v>1063</v>
      </c>
      <c r="B463" s="7" t="s">
        <v>144</v>
      </c>
      <c r="C463" s="7" t="s">
        <v>22</v>
      </c>
      <c r="D463" s="7" t="s">
        <v>62</v>
      </c>
      <c r="E463" s="7" t="s">
        <v>63</v>
      </c>
      <c r="F463" s="7" t="s">
        <v>64</v>
      </c>
      <c r="G463" s="7">
        <v>7157.79</v>
      </c>
      <c r="H463" s="7" t="s">
        <v>26</v>
      </c>
      <c r="I463" s="7" t="s">
        <v>134</v>
      </c>
      <c r="J463" s="7" t="s">
        <v>73</v>
      </c>
      <c r="K463" s="7" t="s">
        <v>59</v>
      </c>
      <c r="L463" s="7"/>
      <c r="N463" s="2" t="str">
        <f t="shared" si="1"/>
        <v>Sales</v>
      </c>
      <c r="O463" s="6">
        <f>IFERROR(__xludf.DUMMYFUNCTION("IFERROR(
  IF(LEN(TRIM(B463))=6,
    DATE(2000+VALUE(RIGHT(TRIM(B463),2)),MATCH(LEFT(TRIM(B463),3),{""Jan"",""Feb"",""Mar"",""Apr"",""May"",""Jun"",""Jul"",""Aug"",""Sep"",""Oct"",""Nov"",""Dec""},0),15),
  IF(REGEXMATCH(TRIM(B463),""^\d{2}[/-]\d{2}[/-]\d"&amp;"{4}$""),
    DATE(VALUE(RIGHT(TRIM(B463),4)),VALUE(MID(TRIM(B463),4,2)),VALUE(LEFT(TRIM(B463),2))),
  DATEVALUE(TRIM(B463)))),
""CHECK"")"),45970.0)</f>
        <v>45970</v>
      </c>
      <c r="R463" s="2" t="str">
        <f t="shared" si="2"/>
        <v>Nov</v>
      </c>
      <c r="S463" s="2" t="str">
        <f t="shared" si="3"/>
        <v>Q4</v>
      </c>
      <c r="T463" s="2">
        <f t="shared" si="4"/>
        <v>7157.79</v>
      </c>
    </row>
    <row r="464">
      <c r="A464" s="5" t="s">
        <v>1064</v>
      </c>
      <c r="B464" s="5" t="s">
        <v>1065</v>
      </c>
      <c r="C464" s="5" t="s">
        <v>34</v>
      </c>
      <c r="D464" s="5" t="s">
        <v>111</v>
      </c>
      <c r="E464" s="5" t="s">
        <v>111</v>
      </c>
      <c r="F464" s="5" t="s">
        <v>545</v>
      </c>
      <c r="G464" s="5">
        <v>15576.89</v>
      </c>
      <c r="H464" s="5" t="s">
        <v>26</v>
      </c>
      <c r="I464" s="5" t="s">
        <v>48</v>
      </c>
      <c r="J464" s="5" t="s">
        <v>73</v>
      </c>
      <c r="K464" s="5" t="s">
        <v>59</v>
      </c>
      <c r="L464" s="5"/>
      <c r="N464" s="2" t="str">
        <f t="shared" si="1"/>
        <v>Sales</v>
      </c>
      <c r="O464" s="6">
        <f>IFERROR(__xludf.DUMMYFUNCTION("IFERROR(
  IF(LEN(TRIM(B464))=6,
    DATE(2000+VALUE(RIGHT(TRIM(B464),2)),MATCH(LEFT(TRIM(B464),3),{""Jan"",""Feb"",""Mar"",""Apr"",""May"",""Jun"",""Jul"",""Aug"",""Sep"",""Oct"",""Nov"",""Dec""},0),15),
  IF(REGEXMATCH(TRIM(B464),""^\d{2}[/-]\d{2}[/-]\d"&amp;"{4}$""),
    DATE(VALUE(RIGHT(TRIM(B464),4)),VALUE(MID(TRIM(B464),4,2)),VALUE(LEFT(TRIM(B464),2))),
  DATEVALUE(TRIM(B464)))),
""CHECK"")"),45725.0)</f>
        <v>45725</v>
      </c>
      <c r="R464" s="2" t="str">
        <f t="shared" si="2"/>
        <v>Mar</v>
      </c>
      <c r="S464" s="2" t="str">
        <f t="shared" si="3"/>
        <v>Q1</v>
      </c>
      <c r="T464" s="2">
        <f t="shared" si="4"/>
        <v>15576.89</v>
      </c>
    </row>
    <row r="465">
      <c r="A465" s="7" t="s">
        <v>1066</v>
      </c>
      <c r="B465" s="7" t="s">
        <v>311</v>
      </c>
      <c r="C465" s="7" t="s">
        <v>34</v>
      </c>
      <c r="D465" s="7" t="s">
        <v>51</v>
      </c>
      <c r="E465" s="7" t="s">
        <v>68</v>
      </c>
      <c r="F465" s="7" t="s">
        <v>838</v>
      </c>
      <c r="G465" s="7">
        <v>16453.87</v>
      </c>
      <c r="H465" s="7" t="s">
        <v>26</v>
      </c>
      <c r="I465" s="7" t="s">
        <v>206</v>
      </c>
      <c r="J465" s="7" t="s">
        <v>49</v>
      </c>
      <c r="K465" s="7" t="s">
        <v>39</v>
      </c>
      <c r="L465" s="7"/>
      <c r="N465" s="2" t="str">
        <f t="shared" si="1"/>
        <v>Customer Success</v>
      </c>
      <c r="O465" s="6">
        <f>IFERROR(__xludf.DUMMYFUNCTION("IFERROR(
  IF(LEN(TRIM(B465))=6,
    DATE(2000+VALUE(RIGHT(TRIM(B465),2)),MATCH(LEFT(TRIM(B465),3),{""Jan"",""Feb"",""Mar"",""Apr"",""May"",""Jun"",""Jul"",""Aug"",""Sep"",""Oct"",""Nov"",""Dec""},0),15),
  IF(REGEXMATCH(TRIM(B465),""^\d{2}[/-]\d{2}[/-]\d"&amp;"{4}$""),
    DATE(VALUE(RIGHT(TRIM(B465),4)),VALUE(MID(TRIM(B465),4,2)),VALUE(LEFT(TRIM(B465),2))),
  DATEVALUE(TRIM(B465)))),
""CHECK"")"),45580.0)</f>
        <v>45580</v>
      </c>
      <c r="R465" s="2" t="str">
        <f t="shared" si="2"/>
        <v>Oct</v>
      </c>
      <c r="S465" s="2" t="str">
        <f t="shared" si="3"/>
        <v>Q4</v>
      </c>
      <c r="T465" s="2">
        <f t="shared" si="4"/>
        <v>16453.87</v>
      </c>
    </row>
    <row r="466">
      <c r="A466" s="5" t="s">
        <v>1067</v>
      </c>
      <c r="B466" s="5" t="s">
        <v>1068</v>
      </c>
      <c r="C466" s="5" t="s">
        <v>34</v>
      </c>
      <c r="D466" s="5" t="s">
        <v>90</v>
      </c>
      <c r="E466" s="5" t="s">
        <v>104</v>
      </c>
      <c r="F466" s="5" t="s">
        <v>401</v>
      </c>
      <c r="G466" s="5">
        <v>9252.8</v>
      </c>
      <c r="H466" s="5" t="s">
        <v>26</v>
      </c>
      <c r="I466" s="5" t="s">
        <v>394</v>
      </c>
      <c r="J466" s="5" t="s">
        <v>66</v>
      </c>
      <c r="K466" s="5" t="s">
        <v>67</v>
      </c>
      <c r="L466" s="5"/>
      <c r="N466" s="2" t="str">
        <f t="shared" si="1"/>
        <v>G&amp;A</v>
      </c>
      <c r="O466" s="6">
        <f>IFERROR(__xludf.DUMMYFUNCTION("IFERROR(
  IF(LEN(TRIM(B466))=6,
    DATE(2000+VALUE(RIGHT(TRIM(B466),2)),MATCH(LEFT(TRIM(B466),3),{""Jan"",""Feb"",""Mar"",""Apr"",""May"",""Jun"",""Jul"",""Aug"",""Sep"",""Oct"",""Nov"",""Dec""},0),15),
  IF(REGEXMATCH(TRIM(B466),""^\d{2}[/-]\d{2}[/-]\d"&amp;"{4}$""),
    DATE(VALUE(RIGHT(TRIM(B466),4)),VALUE(MID(TRIM(B466),4,2)),VALUE(LEFT(TRIM(B466),2))),
  DATEVALUE(TRIM(B466)))),
""CHECK"")"),45408.0)</f>
        <v>45408</v>
      </c>
      <c r="R466" s="2" t="str">
        <f t="shared" si="2"/>
        <v>Apr</v>
      </c>
      <c r="S466" s="2" t="str">
        <f t="shared" si="3"/>
        <v>Q2</v>
      </c>
      <c r="T466" s="2">
        <f t="shared" si="4"/>
        <v>9252.8</v>
      </c>
    </row>
    <row r="467">
      <c r="A467" s="7" t="s">
        <v>1069</v>
      </c>
      <c r="B467" s="7" t="s">
        <v>1070</v>
      </c>
      <c r="C467" s="7" t="s">
        <v>22</v>
      </c>
      <c r="D467" s="7" t="s">
        <v>85</v>
      </c>
      <c r="E467" s="7" t="s">
        <v>97</v>
      </c>
      <c r="F467" s="7" t="s">
        <v>190</v>
      </c>
      <c r="G467" s="7">
        <v>25402.24</v>
      </c>
      <c r="H467" s="7" t="s">
        <v>26</v>
      </c>
      <c r="I467" s="7" t="s">
        <v>134</v>
      </c>
      <c r="J467" s="7" t="s">
        <v>73</v>
      </c>
      <c r="K467" s="7" t="s">
        <v>59</v>
      </c>
      <c r="L467" s="7"/>
      <c r="N467" s="2" t="str">
        <f t="shared" si="1"/>
        <v>Sales</v>
      </c>
      <c r="O467" s="6">
        <f>IFERROR(__xludf.DUMMYFUNCTION("IFERROR(
  IF(LEN(TRIM(B467))=6,
    DATE(2000+VALUE(RIGHT(TRIM(B467),2)),MATCH(LEFT(TRIM(B467),3),{""Jan"",""Feb"",""Mar"",""Apr"",""May"",""Jun"",""Jul"",""Aug"",""Sep"",""Oct"",""Nov"",""Dec""},0),15),
  IF(REGEXMATCH(TRIM(B467),""^\d{2}[/-]\d{2}[/-]\d"&amp;"{4}$""),
    DATE(VALUE(RIGHT(TRIM(B467),4)),VALUE(MID(TRIM(B467),4,2)),VALUE(LEFT(TRIM(B467),2))),
  DATEVALUE(TRIM(B467)))),
""CHECK"")"),45543.0)</f>
        <v>45543</v>
      </c>
      <c r="R467" s="2" t="str">
        <f t="shared" si="2"/>
        <v>Sep</v>
      </c>
      <c r="S467" s="2" t="str">
        <f t="shared" si="3"/>
        <v>Q3</v>
      </c>
      <c r="T467" s="2">
        <f t="shared" si="4"/>
        <v>25402.24</v>
      </c>
    </row>
    <row r="468">
      <c r="A468" s="5" t="s">
        <v>1071</v>
      </c>
      <c r="B468" s="5" t="s">
        <v>584</v>
      </c>
      <c r="C468" s="5" t="s">
        <v>34</v>
      </c>
      <c r="D468" s="5" t="s">
        <v>82</v>
      </c>
      <c r="E468" s="5" t="s">
        <v>82</v>
      </c>
      <c r="F468" s="5" t="s">
        <v>570</v>
      </c>
      <c r="G468" s="5">
        <v>34135.96</v>
      </c>
      <c r="H468" s="5" t="s">
        <v>26</v>
      </c>
      <c r="I468" s="5" t="s">
        <v>206</v>
      </c>
      <c r="J468" s="5" t="s">
        <v>49</v>
      </c>
      <c r="K468" s="5" t="s">
        <v>39</v>
      </c>
      <c r="L468" s="5"/>
      <c r="N468" s="2" t="str">
        <f t="shared" si="1"/>
        <v>Engineering</v>
      </c>
      <c r="O468" s="6">
        <f>IFERROR(__xludf.DUMMYFUNCTION("IFERROR(
  IF(LEN(TRIM(B468))=6,
    DATE(2000+VALUE(RIGHT(TRIM(B468),2)),MATCH(LEFT(TRIM(B468),3),{""Jan"",""Feb"",""Mar"",""Apr"",""May"",""Jun"",""Jul"",""Aug"",""Sep"",""Oct"",""Nov"",""Dec""},0),15),
  IF(REGEXMATCH(TRIM(B468),""^\d{2}[/-]\d{2}[/-]\d"&amp;"{4}$""),
    DATE(VALUE(RIGHT(TRIM(B468),4)),VALUE(MID(TRIM(B468),4,2)),VALUE(LEFT(TRIM(B468),2))),
  DATEVALUE(TRIM(B468)))),
""CHECK"")"),45591.0)</f>
        <v>45591</v>
      </c>
      <c r="R468" s="2" t="str">
        <f t="shared" si="2"/>
        <v>Oct</v>
      </c>
      <c r="S468" s="2" t="str">
        <f t="shared" si="3"/>
        <v>Q4</v>
      </c>
      <c r="T468" s="2">
        <f t="shared" si="4"/>
        <v>34135.96</v>
      </c>
    </row>
    <row r="469">
      <c r="A469" s="7" t="s">
        <v>1072</v>
      </c>
      <c r="B469" s="7" t="s">
        <v>1073</v>
      </c>
      <c r="C469" s="7" t="s">
        <v>22</v>
      </c>
      <c r="D469" s="7" t="s">
        <v>23</v>
      </c>
      <c r="E469" s="7" t="s">
        <v>24</v>
      </c>
      <c r="F469" s="7" t="s">
        <v>245</v>
      </c>
      <c r="G469" s="7">
        <v>126901.17</v>
      </c>
      <c r="H469" s="7" t="s">
        <v>26</v>
      </c>
      <c r="I469" s="7" t="s">
        <v>27</v>
      </c>
      <c r="J469" s="7" t="s">
        <v>44</v>
      </c>
      <c r="K469" s="7" t="s">
        <v>29</v>
      </c>
      <c r="L469" s="7"/>
      <c r="N469" s="2" t="str">
        <f t="shared" si="1"/>
        <v>Sales</v>
      </c>
      <c r="O469" s="6">
        <f>IFERROR(__xludf.DUMMYFUNCTION("IFERROR(
  IF(LEN(TRIM(B469))=6,
    DATE(2000+VALUE(RIGHT(TRIM(B469),2)),MATCH(LEFT(TRIM(B469),3),{""Jan"",""Feb"",""Mar"",""Apr"",""May"",""Jun"",""Jul"",""Aug"",""Sep"",""Oct"",""Nov"",""Dec""},0),15),
  IF(REGEXMATCH(TRIM(B469),""^\d{2}[/-]\d{2}[/-]\d"&amp;"{4}$""),
    DATE(VALUE(RIGHT(TRIM(B469),4)),VALUE(MID(TRIM(B469),4,2)),VALUE(LEFT(TRIM(B469),2))),
  DATEVALUE(TRIM(B469)))),
""CHECK"")"),45964.0)</f>
        <v>45964</v>
      </c>
      <c r="R469" s="2" t="str">
        <f t="shared" si="2"/>
        <v>Nov</v>
      </c>
      <c r="S469" s="2" t="str">
        <f t="shared" si="3"/>
        <v>Q4</v>
      </c>
      <c r="T469" s="2">
        <f t="shared" si="4"/>
        <v>126901.17</v>
      </c>
    </row>
    <row r="470">
      <c r="A470" s="5" t="s">
        <v>1074</v>
      </c>
      <c r="B470" s="5" t="s">
        <v>1075</v>
      </c>
      <c r="C470" s="5" t="s">
        <v>22</v>
      </c>
      <c r="D470" s="5" t="s">
        <v>85</v>
      </c>
      <c r="E470" s="5" t="s">
        <v>111</v>
      </c>
      <c r="F470" s="5" t="s">
        <v>494</v>
      </c>
      <c r="G470" s="5">
        <v>11089.07</v>
      </c>
      <c r="H470" s="5" t="s">
        <v>26</v>
      </c>
      <c r="I470" s="5" t="s">
        <v>134</v>
      </c>
      <c r="J470" s="5" t="s">
        <v>126</v>
      </c>
      <c r="K470" s="5" t="s">
        <v>29</v>
      </c>
      <c r="L470" s="5"/>
      <c r="N470" s="2" t="str">
        <f t="shared" si="1"/>
        <v>Sales</v>
      </c>
      <c r="O470" s="6">
        <f>IFERROR(__xludf.DUMMYFUNCTION("IFERROR(
  IF(LEN(TRIM(B470))=6,
    DATE(2000+VALUE(RIGHT(TRIM(B470),2)),MATCH(LEFT(TRIM(B470),3),{""Jan"",""Feb"",""Mar"",""Apr"",""May"",""Jun"",""Jul"",""Aug"",""Sep"",""Oct"",""Nov"",""Dec""},0),15),
  IF(REGEXMATCH(TRIM(B470),""^\d{2}[/-]\d{2}[/-]\d"&amp;"{4}$""),
    DATE(VALUE(RIGHT(TRIM(B470),4)),VALUE(MID(TRIM(B470),4,2)),VALUE(LEFT(TRIM(B470),2))),
  DATEVALUE(TRIM(B470)))),
""CHECK"")"),45323.0)</f>
        <v>45323</v>
      </c>
      <c r="R470" s="2" t="str">
        <f t="shared" si="2"/>
        <v>Feb</v>
      </c>
      <c r="S470" s="2" t="str">
        <f t="shared" si="3"/>
        <v>Q1</v>
      </c>
      <c r="T470" s="2">
        <f t="shared" si="4"/>
        <v>11089.07</v>
      </c>
    </row>
    <row r="471">
      <c r="A471" s="7" t="s">
        <v>1076</v>
      </c>
      <c r="B471" s="7" t="s">
        <v>1077</v>
      </c>
      <c r="C471" s="7" t="s">
        <v>22</v>
      </c>
      <c r="D471" s="7" t="s">
        <v>23</v>
      </c>
      <c r="E471" s="7" t="s">
        <v>97</v>
      </c>
      <c r="F471" s="7" t="s">
        <v>245</v>
      </c>
      <c r="G471" s="7">
        <v>426544.55</v>
      </c>
      <c r="H471" s="7" t="s">
        <v>26</v>
      </c>
      <c r="I471" s="7" t="s">
        <v>72</v>
      </c>
      <c r="J471" s="7" t="s">
        <v>38</v>
      </c>
      <c r="K471" s="7" t="s">
        <v>39</v>
      </c>
      <c r="L471" s="7"/>
      <c r="N471" s="2" t="str">
        <f t="shared" si="1"/>
        <v>Sales</v>
      </c>
      <c r="O471" s="6">
        <f>IFERROR(__xludf.DUMMYFUNCTION("IFERROR(
  IF(LEN(TRIM(B471))=6,
    DATE(2000+VALUE(RIGHT(TRIM(B471),2)),MATCH(LEFT(TRIM(B471),3),{""Jan"",""Feb"",""Mar"",""Apr"",""May"",""Jun"",""Jul"",""Aug"",""Sep"",""Oct"",""Nov"",""Dec""},0),15),
  IF(REGEXMATCH(TRIM(B471),""^\d{2}[/-]\d{2}[/-]\d"&amp;"{4}$""),
    DATE(VALUE(RIGHT(TRIM(B471),4)),VALUE(MID(TRIM(B471),4,2)),VALUE(LEFT(TRIM(B471),2))),
  DATEVALUE(TRIM(B471)))),
""CHECK"")"),45638.0)</f>
        <v>45638</v>
      </c>
      <c r="R471" s="2" t="str">
        <f t="shared" si="2"/>
        <v>Dec</v>
      </c>
      <c r="S471" s="2" t="str">
        <f t="shared" si="3"/>
        <v>Q4</v>
      </c>
      <c r="T471" s="2">
        <f t="shared" si="4"/>
        <v>426544.55</v>
      </c>
    </row>
    <row r="472">
      <c r="A472" s="5" t="s">
        <v>1078</v>
      </c>
      <c r="B472" s="5" t="s">
        <v>1079</v>
      </c>
      <c r="C472" s="5" t="s">
        <v>22</v>
      </c>
      <c r="D472" s="5" t="s">
        <v>23</v>
      </c>
      <c r="E472" s="5" t="s">
        <v>97</v>
      </c>
      <c r="F472" s="5" t="s">
        <v>275</v>
      </c>
      <c r="G472" s="5">
        <v>178611.82</v>
      </c>
      <c r="H472" s="5" t="s">
        <v>26</v>
      </c>
      <c r="I472" s="5" t="s">
        <v>129</v>
      </c>
      <c r="J472" s="5" t="s">
        <v>142</v>
      </c>
      <c r="K472" s="5" t="s">
        <v>39</v>
      </c>
      <c r="L472" s="5"/>
      <c r="N472" s="2" t="str">
        <f t="shared" si="1"/>
        <v>Sales</v>
      </c>
      <c r="O472" s="6">
        <f>IFERROR(__xludf.DUMMYFUNCTION("IFERROR(
  IF(LEN(TRIM(B472))=6,
    DATE(2000+VALUE(RIGHT(TRIM(B472),2)),MATCH(LEFT(TRIM(B472),3),{""Jan"",""Feb"",""Mar"",""Apr"",""May"",""Jun"",""Jul"",""Aug"",""Sep"",""Oct"",""Nov"",""Dec""},0),15),
  IF(REGEXMATCH(TRIM(B472),""^\d{2}[/-]\d{2}[/-]\d"&amp;"{4}$""),
    DATE(VALUE(RIGHT(TRIM(B472),4)),VALUE(MID(TRIM(B472),4,2)),VALUE(LEFT(TRIM(B472),2))),
  DATEVALUE(TRIM(B472)))),
""CHECK"")"),45620.0)</f>
        <v>45620</v>
      </c>
      <c r="R472" s="2" t="str">
        <f t="shared" si="2"/>
        <v>Nov</v>
      </c>
      <c r="S472" s="2" t="str">
        <f t="shared" si="3"/>
        <v>Q4</v>
      </c>
      <c r="T472" s="2">
        <f t="shared" si="4"/>
        <v>178611.82</v>
      </c>
    </row>
    <row r="473">
      <c r="A473" s="7" t="s">
        <v>1080</v>
      </c>
      <c r="B473" s="7" t="s">
        <v>1081</v>
      </c>
      <c r="C473" s="7" t="s">
        <v>22</v>
      </c>
      <c r="D473" s="7" t="s">
        <v>62</v>
      </c>
      <c r="E473" s="7" t="s">
        <v>63</v>
      </c>
      <c r="F473" s="7" t="s">
        <v>284</v>
      </c>
      <c r="G473" s="7">
        <v>9902.32</v>
      </c>
      <c r="H473" s="7" t="s">
        <v>26</v>
      </c>
      <c r="I473" s="7" t="s">
        <v>27</v>
      </c>
      <c r="J473" s="7" t="s">
        <v>66</v>
      </c>
      <c r="K473" s="7" t="s">
        <v>67</v>
      </c>
      <c r="L473" s="7"/>
      <c r="N473" s="2" t="str">
        <f t="shared" si="1"/>
        <v>Sales</v>
      </c>
      <c r="O473" s="6">
        <f>IFERROR(__xludf.DUMMYFUNCTION("IFERROR(
  IF(LEN(TRIM(B473))=6,
    DATE(2000+VALUE(RIGHT(TRIM(B473),2)),MATCH(LEFT(TRIM(B473),3),{""Jan"",""Feb"",""Mar"",""Apr"",""May"",""Jun"",""Jul"",""Aug"",""Sep"",""Oct"",""Nov"",""Dec""},0),15),
  IF(REGEXMATCH(TRIM(B473),""^\d{2}[/-]\d{2}[/-]\d"&amp;"{4}$""),
    DATE(VALUE(RIGHT(TRIM(B473),4)),VALUE(MID(TRIM(B473),4,2)),VALUE(LEFT(TRIM(B473),2))),
  DATEVALUE(TRIM(B473)))),
""CHECK"")"),45391.0)</f>
        <v>45391</v>
      </c>
      <c r="R473" s="2" t="str">
        <f t="shared" si="2"/>
        <v>Apr</v>
      </c>
      <c r="S473" s="2" t="str">
        <f t="shared" si="3"/>
        <v>Q2</v>
      </c>
      <c r="T473" s="2">
        <f t="shared" si="4"/>
        <v>9902.32</v>
      </c>
    </row>
    <row r="474">
      <c r="A474" s="5" t="s">
        <v>1082</v>
      </c>
      <c r="B474" s="5" t="s">
        <v>1083</v>
      </c>
      <c r="C474" s="5" t="s">
        <v>34</v>
      </c>
      <c r="D474" s="5" t="s">
        <v>51</v>
      </c>
      <c r="E474" s="5" t="s">
        <v>50</v>
      </c>
      <c r="F474" s="5" t="s">
        <v>393</v>
      </c>
      <c r="G474" s="5" t="s">
        <v>1084</v>
      </c>
      <c r="H474" s="5" t="s">
        <v>26</v>
      </c>
      <c r="I474" s="5" t="s">
        <v>394</v>
      </c>
      <c r="J474" s="5" t="s">
        <v>113</v>
      </c>
      <c r="K474" s="5" t="s">
        <v>67</v>
      </c>
      <c r="L474" s="5">
        <v>16371.3</v>
      </c>
      <c r="N474" s="2" t="str">
        <f t="shared" si="1"/>
        <v>Customer Success</v>
      </c>
      <c r="O474" s="6">
        <f>IFERROR(__xludf.DUMMYFUNCTION("IFERROR(
  IF(LEN(TRIM(B474))=6,
    DATE(2000+VALUE(RIGHT(TRIM(B474),2)),MATCH(LEFT(TRIM(B474),3),{""Jan"",""Feb"",""Mar"",""Apr"",""May"",""Jun"",""Jul"",""Aug"",""Sep"",""Oct"",""Nov"",""Dec""},0),15),
  IF(REGEXMATCH(TRIM(B474),""^\d{2}[/-]\d{2}[/-]\d"&amp;"{4}$""),
    DATE(VALUE(RIGHT(TRIM(B474),4)),VALUE(MID(TRIM(B474),4,2)),VALUE(LEFT(TRIM(B474),2))),
  DATEVALUE(TRIM(B474)))),
""CHECK"")"),45455.0)</f>
        <v>45455</v>
      </c>
      <c r="R474" s="2" t="str">
        <f t="shared" si="2"/>
        <v>Jun</v>
      </c>
      <c r="S474" s="2" t="str">
        <f t="shared" si="3"/>
        <v>Q2</v>
      </c>
      <c r="T474" s="2">
        <f t="shared" si="4"/>
        <v>16371.3</v>
      </c>
    </row>
    <row r="475">
      <c r="A475" s="7" t="s">
        <v>1085</v>
      </c>
      <c r="B475" s="7" t="s">
        <v>975</v>
      </c>
      <c r="C475" s="7" t="s">
        <v>34</v>
      </c>
      <c r="D475" s="7" t="s">
        <v>90</v>
      </c>
      <c r="E475" s="7" t="s">
        <v>91</v>
      </c>
      <c r="F475" s="7" t="s">
        <v>387</v>
      </c>
      <c r="G475" s="7">
        <v>23763.65</v>
      </c>
      <c r="H475" s="7" t="s">
        <v>26</v>
      </c>
      <c r="I475" s="7" t="s">
        <v>237</v>
      </c>
      <c r="J475" s="7" t="s">
        <v>66</v>
      </c>
      <c r="K475" s="7" t="s">
        <v>67</v>
      </c>
      <c r="L475" s="7"/>
      <c r="N475" s="2" t="str">
        <f t="shared" si="1"/>
        <v>G&amp;A</v>
      </c>
      <c r="O475" s="6">
        <f>IFERROR(__xludf.DUMMYFUNCTION("IFERROR(
  IF(LEN(TRIM(B475))=6,
    DATE(2000+VALUE(RIGHT(TRIM(B475),2)),MATCH(LEFT(TRIM(B475),3),{""Jan"",""Feb"",""Mar"",""Apr"",""May"",""Jun"",""Jul"",""Aug"",""Sep"",""Oct"",""Nov"",""Dec""},0),15),
  IF(REGEXMATCH(TRIM(B475),""^\d{2}[/-]\d{2}[/-]\d"&amp;"{4}$""),
    DATE(VALUE(RIGHT(TRIM(B475),4)),VALUE(MID(TRIM(B475),4,2)),VALUE(LEFT(TRIM(B475),2))),
  DATEVALUE(TRIM(B475)))),
""CHECK"")"),45386.0)</f>
        <v>45386</v>
      </c>
      <c r="R475" s="2" t="str">
        <f t="shared" si="2"/>
        <v>Apr</v>
      </c>
      <c r="S475" s="2" t="str">
        <f t="shared" si="3"/>
        <v>Q2</v>
      </c>
      <c r="T475" s="2">
        <f t="shared" si="4"/>
        <v>23763.65</v>
      </c>
    </row>
    <row r="476">
      <c r="A476" s="5" t="s">
        <v>1086</v>
      </c>
      <c r="B476" s="5" t="s">
        <v>1087</v>
      </c>
      <c r="C476" s="5" t="s">
        <v>34</v>
      </c>
      <c r="D476" s="5" t="s">
        <v>111</v>
      </c>
      <c r="E476" s="5" t="s">
        <v>24</v>
      </c>
      <c r="F476" s="5" t="s">
        <v>112</v>
      </c>
      <c r="G476" s="5">
        <v>15115.3</v>
      </c>
      <c r="H476" s="5" t="s">
        <v>26</v>
      </c>
      <c r="I476" s="5" t="s">
        <v>57</v>
      </c>
      <c r="J476" s="5" t="s">
        <v>38</v>
      </c>
      <c r="K476" s="5" t="s">
        <v>39</v>
      </c>
      <c r="L476" s="5"/>
      <c r="N476" s="2" t="str">
        <f t="shared" si="1"/>
        <v>Sales</v>
      </c>
      <c r="O476" s="6">
        <f>IFERROR(__xludf.DUMMYFUNCTION("IFERROR(
  IF(LEN(TRIM(B476))=6,
    DATE(2000+VALUE(RIGHT(TRIM(B476),2)),MATCH(LEFT(TRIM(B476),3),{""Jan"",""Feb"",""Mar"",""Apr"",""May"",""Jun"",""Jul"",""Aug"",""Sep"",""Oct"",""Nov"",""Dec""},0),15),
  IF(REGEXMATCH(TRIM(B476),""^\d{2}[/-]\d{2}[/-]\d"&amp;"{4}$""),
    DATE(VALUE(RIGHT(TRIM(B476),4)),VALUE(MID(TRIM(B476),4,2)),VALUE(LEFT(TRIM(B476),2))),
  DATEVALUE(TRIM(B476)))),
""CHECK"")"),45647.0)</f>
        <v>45647</v>
      </c>
      <c r="R476" s="2" t="str">
        <f t="shared" si="2"/>
        <v>Dec</v>
      </c>
      <c r="S476" s="2" t="str">
        <f t="shared" si="3"/>
        <v>Q4</v>
      </c>
      <c r="T476" s="2">
        <f t="shared" si="4"/>
        <v>15115.3</v>
      </c>
    </row>
    <row r="477">
      <c r="A477" s="7" t="s">
        <v>1088</v>
      </c>
      <c r="B477" s="7" t="s">
        <v>599</v>
      </c>
      <c r="C477" s="7" t="s">
        <v>34</v>
      </c>
      <c r="D477" s="7" t="s">
        <v>51</v>
      </c>
      <c r="E477" s="7" t="s">
        <v>50</v>
      </c>
      <c r="F477" s="7" t="s">
        <v>1089</v>
      </c>
      <c r="G477" s="7">
        <v>18877.07</v>
      </c>
      <c r="H477" s="7" t="s">
        <v>26</v>
      </c>
      <c r="I477" s="7" t="s">
        <v>57</v>
      </c>
      <c r="J477" s="7" t="s">
        <v>44</v>
      </c>
      <c r="K477" s="7" t="s">
        <v>29</v>
      </c>
      <c r="L477" s="7"/>
      <c r="N477" s="2" t="str">
        <f t="shared" si="1"/>
        <v>Customer Success</v>
      </c>
      <c r="O477" s="6">
        <f>IFERROR(__xludf.DUMMYFUNCTION("IFERROR(
  IF(LEN(TRIM(B477))=6,
    DATE(2000+VALUE(RIGHT(TRIM(B477),2)),MATCH(LEFT(TRIM(B477),3),{""Jan"",""Feb"",""Mar"",""Apr"",""May"",""Jun"",""Jul"",""Aug"",""Sep"",""Oct"",""Nov"",""Dec""},0),15),
  IF(REGEXMATCH(TRIM(B477),""^\d{2}[/-]\d{2}[/-]\d"&amp;"{4}$""),
    DATE(VALUE(RIGHT(TRIM(B477),4)),VALUE(MID(TRIM(B477),4,2)),VALUE(LEFT(TRIM(B477),2))),
  DATEVALUE(TRIM(B477)))),
""CHECK"")"),46084.0)</f>
        <v>46084</v>
      </c>
      <c r="R477" s="2" t="str">
        <f t="shared" si="2"/>
        <v>Mar</v>
      </c>
      <c r="S477" s="2" t="str">
        <f t="shared" si="3"/>
        <v>Q1</v>
      </c>
      <c r="T477" s="2">
        <f t="shared" si="4"/>
        <v>18877.07</v>
      </c>
    </row>
    <row r="478">
      <c r="A478" s="5" t="s">
        <v>1090</v>
      </c>
      <c r="B478" s="5" t="s">
        <v>1091</v>
      </c>
      <c r="C478" s="5" t="s">
        <v>22</v>
      </c>
      <c r="D478" s="5" t="s">
        <v>62</v>
      </c>
      <c r="E478" s="5" t="s">
        <v>97</v>
      </c>
      <c r="F478" s="5" t="s">
        <v>370</v>
      </c>
      <c r="G478" s="5">
        <v>8100.32</v>
      </c>
      <c r="H478" s="5" t="s">
        <v>26</v>
      </c>
      <c r="I478" s="5" t="s">
        <v>137</v>
      </c>
      <c r="J478" s="5" t="s">
        <v>38</v>
      </c>
      <c r="K478" s="5" t="s">
        <v>39</v>
      </c>
      <c r="L478" s="5"/>
      <c r="N478" s="2" t="str">
        <f t="shared" si="1"/>
        <v>Sales</v>
      </c>
      <c r="O478" s="6">
        <f>IFERROR(__xludf.DUMMYFUNCTION("IFERROR(
  IF(LEN(TRIM(B478))=6,
    DATE(2000+VALUE(RIGHT(TRIM(B478),2)),MATCH(LEFT(TRIM(B478),3),{""Jan"",""Feb"",""Mar"",""Apr"",""May"",""Jun"",""Jul"",""Aug"",""Sep"",""Oct"",""Nov"",""Dec""},0),15),
  IF(REGEXMATCH(TRIM(B478),""^\d{2}[/-]\d{2}[/-]\d"&amp;"{4}$""),
    DATE(VALUE(RIGHT(TRIM(B478),4)),VALUE(MID(TRIM(B478),4,2)),VALUE(LEFT(TRIM(B478),2))),
  DATEVALUE(TRIM(B478)))),
""CHECK"")"),45652.0)</f>
        <v>45652</v>
      </c>
      <c r="R478" s="2" t="str">
        <f t="shared" si="2"/>
        <v>Dec</v>
      </c>
      <c r="S478" s="2" t="str">
        <f t="shared" si="3"/>
        <v>Q4</v>
      </c>
      <c r="T478" s="2">
        <f t="shared" si="4"/>
        <v>8100.32</v>
      </c>
    </row>
    <row r="479">
      <c r="A479" s="7" t="s">
        <v>1092</v>
      </c>
      <c r="B479" s="7" t="s">
        <v>1093</v>
      </c>
      <c r="C479" s="7" t="s">
        <v>34</v>
      </c>
      <c r="D479" s="7" t="s">
        <v>111</v>
      </c>
      <c r="E479" s="7" t="s">
        <v>97</v>
      </c>
      <c r="F479" s="7" t="s">
        <v>500</v>
      </c>
      <c r="G479" s="7">
        <v>26617.95</v>
      </c>
      <c r="H479" s="7" t="s">
        <v>26</v>
      </c>
      <c r="I479" s="7" t="s">
        <v>103</v>
      </c>
      <c r="J479" s="7" t="s">
        <v>87</v>
      </c>
      <c r="K479" s="7" t="s">
        <v>67</v>
      </c>
      <c r="L479" s="7"/>
      <c r="N479" s="2" t="str">
        <f t="shared" si="1"/>
        <v>Sales</v>
      </c>
      <c r="O479" s="6">
        <f>IFERROR(__xludf.DUMMYFUNCTION("IFERROR(
  IF(LEN(TRIM(B479))=6,
    DATE(2000+VALUE(RIGHT(TRIM(B479),2)),MATCH(LEFT(TRIM(B479),3),{""Jan"",""Feb"",""Mar"",""Apr"",""May"",""Jun"",""Jul"",""Aug"",""Sep"",""Oct"",""Nov"",""Dec""},0),15),
  IF(REGEXMATCH(TRIM(B479),""^\d{2}[/-]\d{2}[/-]\d"&amp;"{4}$""),
    DATE(VALUE(RIGHT(TRIM(B479),4)),VALUE(MID(TRIM(B479),4,2)),VALUE(LEFT(TRIM(B479),2))),
  DATEVALUE(TRIM(B479)))),
""CHECK"")"),45439.0)</f>
        <v>45439</v>
      </c>
      <c r="R479" s="2" t="str">
        <f t="shared" si="2"/>
        <v>May</v>
      </c>
      <c r="S479" s="2" t="str">
        <f t="shared" si="3"/>
        <v>Q2</v>
      </c>
      <c r="T479" s="2">
        <f t="shared" si="4"/>
        <v>26617.95</v>
      </c>
    </row>
    <row r="480">
      <c r="A480" s="5" t="s">
        <v>1094</v>
      </c>
      <c r="B480" s="5" t="s">
        <v>1095</v>
      </c>
      <c r="C480" s="5" t="s">
        <v>34</v>
      </c>
      <c r="D480" s="5" t="s">
        <v>54</v>
      </c>
      <c r="E480" s="5" t="s">
        <v>196</v>
      </c>
      <c r="F480" s="5" t="s">
        <v>362</v>
      </c>
      <c r="G480" s="5">
        <v>49553.05</v>
      </c>
      <c r="H480" s="5" t="s">
        <v>26</v>
      </c>
      <c r="I480" s="5" t="s">
        <v>237</v>
      </c>
      <c r="J480" s="5" t="s">
        <v>58</v>
      </c>
      <c r="K480" s="5" t="s">
        <v>59</v>
      </c>
      <c r="L480" s="5"/>
      <c r="N480" s="2" t="str">
        <f t="shared" si="1"/>
        <v>Marketing</v>
      </c>
      <c r="O480" s="6">
        <f>IFERROR(__xludf.DUMMYFUNCTION("IFERROR(
  IF(LEN(TRIM(B480))=6,
    DATE(2000+VALUE(RIGHT(TRIM(B480),2)),MATCH(LEFT(TRIM(B480),3),{""Jan"",""Feb"",""Mar"",""Apr"",""May"",""Jun"",""Jul"",""Aug"",""Sep"",""Oct"",""Nov"",""Dec""},0),15),
  IF(REGEXMATCH(TRIM(B480),""^\d{2}[/-]\d{2}[/-]\d"&amp;"{4}$""),
    DATE(VALUE(RIGHT(TRIM(B480),4)),VALUE(MID(TRIM(B480),4,2)),VALUE(LEFT(TRIM(B480),2))),
  DATEVALUE(TRIM(B480)))),
""CHECK"")"),45485.0)</f>
        <v>45485</v>
      </c>
      <c r="R480" s="2" t="str">
        <f t="shared" si="2"/>
        <v>Jul</v>
      </c>
      <c r="S480" s="2" t="str">
        <f t="shared" si="3"/>
        <v>Q3</v>
      </c>
      <c r="T480" s="2">
        <f t="shared" si="4"/>
        <v>49553.05</v>
      </c>
    </row>
    <row r="481">
      <c r="A481" s="7" t="s">
        <v>1096</v>
      </c>
      <c r="B481" s="7" t="s">
        <v>1097</v>
      </c>
      <c r="C481" s="7" t="s">
        <v>34</v>
      </c>
      <c r="D481" s="7" t="s">
        <v>54</v>
      </c>
      <c r="E481" s="7" t="s">
        <v>124</v>
      </c>
      <c r="F481" s="7" t="s">
        <v>1098</v>
      </c>
      <c r="G481" s="7">
        <v>38970.34</v>
      </c>
      <c r="H481" s="7" t="s">
        <v>26</v>
      </c>
      <c r="I481" s="7" t="s">
        <v>57</v>
      </c>
      <c r="J481" s="7"/>
      <c r="K481" s="7"/>
      <c r="L481" s="7"/>
      <c r="N481" s="2" t="str">
        <f t="shared" si="1"/>
        <v>Marketing</v>
      </c>
      <c r="O481" s="6">
        <f>IFERROR(__xludf.DUMMYFUNCTION("IFERROR(
  IF(LEN(TRIM(B481))=6,
    DATE(2000+VALUE(RIGHT(TRIM(B481),2)),MATCH(LEFT(TRIM(B481),3),{""Jan"",""Feb"",""Mar"",""Apr"",""May"",""Jun"",""Jul"",""Aug"",""Sep"",""Oct"",""Nov"",""Dec""},0),15),
  IF(REGEXMATCH(TRIM(B481),""^\d{2}[/-]\d{2}[/-]\d"&amp;"{4}$""),
    DATE(VALUE(RIGHT(TRIM(B481),4)),VALUE(MID(TRIM(B481),4,2)),VALUE(LEFT(TRIM(B481),2))),
  DATEVALUE(TRIM(B481)))),
""CHECK"")"),46114.0)</f>
        <v>46114</v>
      </c>
      <c r="R481" s="2" t="str">
        <f t="shared" si="2"/>
        <v>Apr</v>
      </c>
      <c r="S481" s="2" t="str">
        <f t="shared" si="3"/>
        <v>Q2</v>
      </c>
      <c r="T481" s="2">
        <f t="shared" si="4"/>
        <v>38970.34</v>
      </c>
    </row>
    <row r="482">
      <c r="A482" s="5" t="s">
        <v>1099</v>
      </c>
      <c r="B482" s="5" t="s">
        <v>1100</v>
      </c>
      <c r="C482" s="5" t="s">
        <v>22</v>
      </c>
      <c r="D482" s="5" t="s">
        <v>23</v>
      </c>
      <c r="E482" s="5" t="s">
        <v>111</v>
      </c>
      <c r="F482" s="5" t="s">
        <v>71</v>
      </c>
      <c r="G482" s="5">
        <v>492234.64</v>
      </c>
      <c r="H482" s="5" t="s">
        <v>26</v>
      </c>
      <c r="I482" s="5" t="s">
        <v>43</v>
      </c>
      <c r="J482" s="5" t="s">
        <v>113</v>
      </c>
      <c r="K482" s="5" t="s">
        <v>67</v>
      </c>
      <c r="L482" s="5"/>
      <c r="N482" s="2" t="str">
        <f t="shared" si="1"/>
        <v>Sales</v>
      </c>
      <c r="O482" s="6">
        <f>IFERROR(__xludf.DUMMYFUNCTION("IFERROR(
  IF(LEN(TRIM(B482))=6,
    DATE(2000+VALUE(RIGHT(TRIM(B482),2)),MATCH(LEFT(TRIM(B482),3),{""Jan"",""Feb"",""Mar"",""Apr"",""May"",""Jun"",""Jul"",""Aug"",""Sep"",""Oct"",""Nov"",""Dec""},0),15),
  IF(REGEXMATCH(TRIM(B482),""^\d{2}[/-]\d{2}[/-]\d"&amp;"{4}$""),
    DATE(VALUE(RIGHT(TRIM(B482),4)),VALUE(MID(TRIM(B482),4,2)),VALUE(LEFT(TRIM(B482),2))),
  DATEVALUE(TRIM(B482)))),
""CHECK"")"),45471.0)</f>
        <v>45471</v>
      </c>
      <c r="R482" s="2" t="str">
        <f t="shared" si="2"/>
        <v>Jun</v>
      </c>
      <c r="S482" s="2" t="str">
        <f t="shared" si="3"/>
        <v>Q2</v>
      </c>
      <c r="T482" s="2">
        <f t="shared" si="4"/>
        <v>492234.64</v>
      </c>
    </row>
    <row r="483">
      <c r="A483" s="7" t="s">
        <v>1101</v>
      </c>
      <c r="B483" s="7" t="s">
        <v>1102</v>
      </c>
      <c r="C483" s="7" t="s">
        <v>34</v>
      </c>
      <c r="D483" s="7" t="s">
        <v>31</v>
      </c>
      <c r="E483" s="7" t="s">
        <v>35</v>
      </c>
      <c r="F483" s="7" t="s">
        <v>432</v>
      </c>
      <c r="G483" s="7">
        <v>24259.65</v>
      </c>
      <c r="H483" s="7" t="s">
        <v>26</v>
      </c>
      <c r="I483" s="7" t="s">
        <v>57</v>
      </c>
      <c r="J483" s="7" t="s">
        <v>66</v>
      </c>
      <c r="K483" s="7" t="s">
        <v>67</v>
      </c>
      <c r="L483" s="7"/>
      <c r="N483" s="2" t="str">
        <f t="shared" si="1"/>
        <v>Cloud Infrastructure</v>
      </c>
      <c r="O483" s="6">
        <f>IFERROR(__xludf.DUMMYFUNCTION("IFERROR(
  IF(LEN(TRIM(B483))=6,
    DATE(2000+VALUE(RIGHT(TRIM(B483),2)),MATCH(LEFT(TRIM(B483),3),{""Jan"",""Feb"",""Mar"",""Apr"",""May"",""Jun"",""Jul"",""Aug"",""Sep"",""Oct"",""Nov"",""Dec""},0),15),
  IF(REGEXMATCH(TRIM(B483),""^\d{2}[/-]\d{2}[/-]\d"&amp;"{4}$""),
    DATE(VALUE(RIGHT(TRIM(B483),4)),VALUE(MID(TRIM(B483),4,2)),VALUE(LEFT(TRIM(B483),2))),
  DATEVALUE(TRIM(B483)))),
""CHECK"")"),45403.0)</f>
        <v>45403</v>
      </c>
      <c r="R483" s="2" t="str">
        <f t="shared" si="2"/>
        <v>Apr</v>
      </c>
      <c r="S483" s="2" t="str">
        <f t="shared" si="3"/>
        <v>Q2</v>
      </c>
      <c r="T483" s="2">
        <f t="shared" si="4"/>
        <v>24259.65</v>
      </c>
    </row>
    <row r="484">
      <c r="A484" s="5" t="s">
        <v>1103</v>
      </c>
      <c r="B484" s="5" t="s">
        <v>332</v>
      </c>
      <c r="C484" s="5" t="s">
        <v>34</v>
      </c>
      <c r="D484" s="5" t="s">
        <v>51</v>
      </c>
      <c r="E484" s="5" t="s">
        <v>51</v>
      </c>
      <c r="F484" s="5" t="s">
        <v>602</v>
      </c>
      <c r="G484" s="5">
        <v>12779.13</v>
      </c>
      <c r="H484" s="5" t="s">
        <v>26</v>
      </c>
      <c r="I484" s="5" t="s">
        <v>394</v>
      </c>
      <c r="J484" s="5" t="s">
        <v>113</v>
      </c>
      <c r="K484" s="5" t="s">
        <v>67</v>
      </c>
      <c r="L484" s="5"/>
      <c r="N484" s="2" t="str">
        <f t="shared" si="1"/>
        <v>Customer Success</v>
      </c>
      <c r="O484" s="6">
        <f>IFERROR(__xludf.DUMMYFUNCTION("IFERROR(
  IF(LEN(TRIM(B484))=6,
    DATE(2000+VALUE(RIGHT(TRIM(B484),2)),MATCH(LEFT(TRIM(B484),3),{""Jan"",""Feb"",""Mar"",""Apr"",""May"",""Jun"",""Jul"",""Aug"",""Sep"",""Oct"",""Nov"",""Dec""},0),15),
  IF(REGEXMATCH(TRIM(B484),""^\d{2}[/-]\d{2}[/-]\d"&amp;"{4}$""),
    DATE(VALUE(RIGHT(TRIM(B484),4)),VALUE(MID(TRIM(B484),4,2)),VALUE(LEFT(TRIM(B484),2))),
  DATEVALUE(TRIM(B484)))),
""CHECK"")"),45458.0)</f>
        <v>45458</v>
      </c>
      <c r="R484" s="2" t="str">
        <f t="shared" si="2"/>
        <v>Jun</v>
      </c>
      <c r="S484" s="2" t="str">
        <f t="shared" si="3"/>
        <v>Q2</v>
      </c>
      <c r="T484" s="2">
        <f t="shared" si="4"/>
        <v>12779.13</v>
      </c>
    </row>
    <row r="485">
      <c r="A485" s="7" t="s">
        <v>1104</v>
      </c>
      <c r="B485" s="7" t="s">
        <v>332</v>
      </c>
      <c r="C485" s="7" t="s">
        <v>34</v>
      </c>
      <c r="D485" s="7" t="s">
        <v>54</v>
      </c>
      <c r="E485" s="7" t="s">
        <v>124</v>
      </c>
      <c r="F485" s="7" t="s">
        <v>1052</v>
      </c>
      <c r="G485" s="7">
        <v>44149.16</v>
      </c>
      <c r="H485" s="7" t="s">
        <v>26</v>
      </c>
      <c r="I485" s="7" t="s">
        <v>48</v>
      </c>
      <c r="J485" s="7" t="s">
        <v>113</v>
      </c>
      <c r="K485" s="7" t="s">
        <v>67</v>
      </c>
      <c r="L485" s="7"/>
      <c r="N485" s="2" t="str">
        <f t="shared" si="1"/>
        <v>Marketing</v>
      </c>
      <c r="O485" s="6">
        <f>IFERROR(__xludf.DUMMYFUNCTION("IFERROR(
  IF(LEN(TRIM(B485))=6,
    DATE(2000+VALUE(RIGHT(TRIM(B485),2)),MATCH(LEFT(TRIM(B485),3),{""Jan"",""Feb"",""Mar"",""Apr"",""May"",""Jun"",""Jul"",""Aug"",""Sep"",""Oct"",""Nov"",""Dec""},0),15),
  IF(REGEXMATCH(TRIM(B485),""^\d{2}[/-]\d{2}[/-]\d"&amp;"{4}$""),
    DATE(VALUE(RIGHT(TRIM(B485),4)),VALUE(MID(TRIM(B485),4,2)),VALUE(LEFT(TRIM(B485),2))),
  DATEVALUE(TRIM(B485)))),
""CHECK"")"),45458.0)</f>
        <v>45458</v>
      </c>
      <c r="R485" s="2" t="str">
        <f t="shared" si="2"/>
        <v>Jun</v>
      </c>
      <c r="S485" s="2" t="str">
        <f t="shared" si="3"/>
        <v>Q2</v>
      </c>
      <c r="T485" s="2">
        <f t="shared" si="4"/>
        <v>44149.16</v>
      </c>
    </row>
    <row r="486">
      <c r="A486" s="5" t="s">
        <v>1105</v>
      </c>
      <c r="B486" s="5" t="s">
        <v>101</v>
      </c>
      <c r="C486" s="5" t="s">
        <v>22</v>
      </c>
      <c r="D486" s="5" t="s">
        <v>85</v>
      </c>
      <c r="E486" s="5" t="s">
        <v>97</v>
      </c>
      <c r="F486" s="5" t="s">
        <v>281</v>
      </c>
      <c r="G486" s="5">
        <v>24024.83</v>
      </c>
      <c r="H486" s="5" t="s">
        <v>26</v>
      </c>
      <c r="I486" s="5" t="s">
        <v>72</v>
      </c>
      <c r="J486" s="5" t="s">
        <v>44</v>
      </c>
      <c r="K486" s="5" t="s">
        <v>29</v>
      </c>
      <c r="L486" s="5"/>
      <c r="N486" s="2" t="str">
        <f t="shared" si="1"/>
        <v>Sales</v>
      </c>
      <c r="O486" s="6">
        <f>IFERROR(__xludf.DUMMYFUNCTION("IFERROR(
  IF(LEN(TRIM(B486))=6,
    DATE(2000+VALUE(RIGHT(TRIM(B486),2)),MATCH(LEFT(TRIM(B486),3),{""Jan"",""Feb"",""Mar"",""Apr"",""May"",""Jun"",""Jul"",""Aug"",""Sep"",""Oct"",""Nov"",""Dec""},0),15),
  IF(REGEXMATCH(TRIM(B486),""^\d{2}[/-]\d{2}[/-]\d"&amp;"{4}$""),
    DATE(VALUE(RIGHT(TRIM(B486),4)),VALUE(MID(TRIM(B486),4,2)),VALUE(LEFT(TRIM(B486),2))),
  DATEVALUE(TRIM(B486)))),
""CHECK"")"),45366.0)</f>
        <v>45366</v>
      </c>
      <c r="R486" s="2" t="str">
        <f t="shared" si="2"/>
        <v>Mar</v>
      </c>
      <c r="S486" s="2" t="str">
        <f t="shared" si="3"/>
        <v>Q1</v>
      </c>
      <c r="T486" s="2">
        <f t="shared" si="4"/>
        <v>24024.83</v>
      </c>
    </row>
    <row r="487">
      <c r="A487" s="7" t="s">
        <v>1106</v>
      </c>
      <c r="B487" s="7" t="s">
        <v>659</v>
      </c>
      <c r="C487" s="7" t="s">
        <v>34</v>
      </c>
      <c r="D487" s="7" t="s">
        <v>111</v>
      </c>
      <c r="E487" s="7" t="s">
        <v>24</v>
      </c>
      <c r="F487" s="7" t="s">
        <v>432</v>
      </c>
      <c r="G487" s="7">
        <v>9567.37</v>
      </c>
      <c r="H487" s="7" t="s">
        <v>26</v>
      </c>
      <c r="I487" s="7" t="s">
        <v>57</v>
      </c>
      <c r="J487" s="7" t="s">
        <v>126</v>
      </c>
      <c r="K487" s="7" t="s">
        <v>29</v>
      </c>
      <c r="L487" s="7"/>
      <c r="N487" s="2" t="str">
        <f t="shared" si="1"/>
        <v>Sales</v>
      </c>
      <c r="O487" s="6">
        <f>IFERROR(__xludf.DUMMYFUNCTION("IFERROR(
  IF(LEN(TRIM(B487))=6,
    DATE(2000+VALUE(RIGHT(TRIM(B487),2)),MATCH(LEFT(TRIM(B487),3),{""Jan"",""Feb"",""Mar"",""Apr"",""May"",""Jun"",""Jul"",""Aug"",""Sep"",""Oct"",""Nov"",""Dec""},0),15),
  IF(REGEXMATCH(TRIM(B487),""^\d{2}[/-]\d{2}[/-]\d"&amp;"{4}$""),
    DATE(VALUE(RIGHT(TRIM(B487),4)),VALUE(MID(TRIM(B487),4,2)),VALUE(LEFT(TRIM(B487),2))),
  DATEVALUE(TRIM(B487)))),
""CHECK"")"),45328.0)</f>
        <v>45328</v>
      </c>
      <c r="R487" s="2" t="str">
        <f t="shared" si="2"/>
        <v>Feb</v>
      </c>
      <c r="S487" s="2" t="str">
        <f t="shared" si="3"/>
        <v>Q1</v>
      </c>
      <c r="T487" s="2">
        <f t="shared" si="4"/>
        <v>9567.37</v>
      </c>
    </row>
    <row r="488">
      <c r="A488" s="5" t="s">
        <v>1107</v>
      </c>
      <c r="B488" s="5" t="s">
        <v>1108</v>
      </c>
      <c r="C488" s="5" t="s">
        <v>22</v>
      </c>
      <c r="D488" s="5" t="s">
        <v>23</v>
      </c>
      <c r="E488" s="5" t="s">
        <v>63</v>
      </c>
      <c r="F488" s="5" t="s">
        <v>133</v>
      </c>
      <c r="G488" s="5">
        <v>192217.56</v>
      </c>
      <c r="H488" s="5" t="s">
        <v>26</v>
      </c>
      <c r="I488" s="5" t="s">
        <v>43</v>
      </c>
      <c r="J488" s="5" t="s">
        <v>44</v>
      </c>
      <c r="K488" s="5" t="s">
        <v>29</v>
      </c>
      <c r="L488" s="5"/>
      <c r="N488" s="2" t="str">
        <f t="shared" si="1"/>
        <v>Sales</v>
      </c>
      <c r="O488" s="6">
        <f>IFERROR(__xludf.DUMMYFUNCTION("IFERROR(
  IF(LEN(TRIM(B488))=6,
    DATE(2000+VALUE(RIGHT(TRIM(B488),2)),MATCH(LEFT(TRIM(B488),3),{""Jan"",""Feb"",""Mar"",""Apr"",""May"",""Jun"",""Jul"",""Aug"",""Sep"",""Oct"",""Nov"",""Dec""},0),15),
  IF(REGEXMATCH(TRIM(B488),""^\d{2}[/-]\d{2}[/-]\d"&amp;"{4}$""),
    DATE(VALUE(RIGHT(TRIM(B488),4)),VALUE(MID(TRIM(B488),4,2)),VALUE(LEFT(TRIM(B488),2))),
  DATEVALUE(TRIM(B488)))),
""CHECK"")"),45367.0)</f>
        <v>45367</v>
      </c>
      <c r="R488" s="2" t="str">
        <f t="shared" si="2"/>
        <v>Mar</v>
      </c>
      <c r="S488" s="2" t="str">
        <f t="shared" si="3"/>
        <v>Q1</v>
      </c>
      <c r="T488" s="2">
        <f t="shared" si="4"/>
        <v>192217.56</v>
      </c>
    </row>
    <row r="489">
      <c r="A489" s="7" t="s">
        <v>1109</v>
      </c>
      <c r="B489" s="7" t="s">
        <v>1110</v>
      </c>
      <c r="C489" s="7" t="s">
        <v>34</v>
      </c>
      <c r="D489" s="7" t="s">
        <v>111</v>
      </c>
      <c r="E489" s="7" t="s">
        <v>111</v>
      </c>
      <c r="F489" s="7" t="s">
        <v>681</v>
      </c>
      <c r="G489" s="7">
        <v>24151.27</v>
      </c>
      <c r="H489" s="7" t="s">
        <v>26</v>
      </c>
      <c r="I489" s="7" t="s">
        <v>237</v>
      </c>
      <c r="J489" s="7" t="s">
        <v>126</v>
      </c>
      <c r="K489" s="7" t="s">
        <v>29</v>
      </c>
      <c r="L489" s="7"/>
      <c r="N489" s="2" t="str">
        <f t="shared" si="1"/>
        <v>Sales</v>
      </c>
      <c r="O489" s="6">
        <f>IFERROR(__xludf.DUMMYFUNCTION("IFERROR(
  IF(LEN(TRIM(B489))=6,
    DATE(2000+VALUE(RIGHT(TRIM(B489),2)),MATCH(LEFT(TRIM(B489),3),{""Jan"",""Feb"",""Mar"",""Apr"",""May"",""Jun"",""Jul"",""Aug"",""Sep"",""Oct"",""Nov"",""Dec""},0),15),
  IF(REGEXMATCH(TRIM(B489),""^\d{2}[/-]\d{2}[/-]\d"&amp;"{4}$""),
    DATE(VALUE(RIGHT(TRIM(B489),4)),VALUE(MID(TRIM(B489),4,2)),VALUE(LEFT(TRIM(B489),2))),
  DATEVALUE(TRIM(B489)))),
""CHECK"")"),45336.0)</f>
        <v>45336</v>
      </c>
      <c r="R489" s="2" t="str">
        <f t="shared" si="2"/>
        <v>Feb</v>
      </c>
      <c r="S489" s="2" t="str">
        <f t="shared" si="3"/>
        <v>Q1</v>
      </c>
      <c r="T489" s="2">
        <f t="shared" si="4"/>
        <v>24151.27</v>
      </c>
    </row>
    <row r="490">
      <c r="A490" s="5" t="s">
        <v>1111</v>
      </c>
      <c r="B490" s="5" t="s">
        <v>1112</v>
      </c>
      <c r="C490" s="5" t="s">
        <v>22</v>
      </c>
      <c r="D490" s="5" t="s">
        <v>23</v>
      </c>
      <c r="E490" s="5" t="s">
        <v>63</v>
      </c>
      <c r="F490" s="5" t="s">
        <v>245</v>
      </c>
      <c r="G490" s="5">
        <v>207904.87</v>
      </c>
      <c r="H490" s="5" t="s">
        <v>26</v>
      </c>
      <c r="I490" s="5" t="s">
        <v>27</v>
      </c>
      <c r="J490" s="5" t="s">
        <v>108</v>
      </c>
      <c r="K490" s="5" t="s">
        <v>59</v>
      </c>
      <c r="L490" s="5"/>
      <c r="N490" s="2" t="str">
        <f t="shared" si="1"/>
        <v>Sales</v>
      </c>
      <c r="O490" s="6">
        <f>IFERROR(__xludf.DUMMYFUNCTION("IFERROR(
  IF(LEN(TRIM(B490))=6,
    DATE(2000+VALUE(RIGHT(TRIM(B490),2)),MATCH(LEFT(TRIM(B490),3),{""Jan"",""Feb"",""Mar"",""Apr"",""May"",""Jun"",""Jul"",""Aug"",""Sep"",""Oct"",""Nov"",""Dec""},0),15),
  IF(REGEXMATCH(TRIM(B490),""^\d{2}[/-]\d{2}[/-]\d"&amp;"{4}$""),
    DATE(VALUE(RIGHT(TRIM(B490),4)),VALUE(MID(TRIM(B490),4,2)),VALUE(LEFT(TRIM(B490),2))),
  DATEVALUE(TRIM(B490)))),
""CHECK"")"),45518.0)</f>
        <v>45518</v>
      </c>
      <c r="R490" s="2" t="str">
        <f t="shared" si="2"/>
        <v>Aug</v>
      </c>
      <c r="S490" s="2" t="str">
        <f t="shared" si="3"/>
        <v>Q3</v>
      </c>
      <c r="T490" s="2">
        <f t="shared" si="4"/>
        <v>207904.87</v>
      </c>
    </row>
    <row r="491">
      <c r="A491" s="7" t="s">
        <v>1113</v>
      </c>
      <c r="B491" s="7" t="s">
        <v>1114</v>
      </c>
      <c r="C491" s="7" t="s">
        <v>22</v>
      </c>
      <c r="D491" s="7" t="s">
        <v>23</v>
      </c>
      <c r="E491" s="7" t="s">
        <v>111</v>
      </c>
      <c r="F491" s="7" t="s">
        <v>359</v>
      </c>
      <c r="G491" s="7">
        <v>130345.27</v>
      </c>
      <c r="H491" s="7" t="s">
        <v>26</v>
      </c>
      <c r="I491" s="7" t="s">
        <v>65</v>
      </c>
      <c r="J491" s="7" t="s">
        <v>49</v>
      </c>
      <c r="K491" s="7" t="s">
        <v>39</v>
      </c>
      <c r="L491" s="7"/>
      <c r="N491" s="2" t="str">
        <f t="shared" si="1"/>
        <v>Sales</v>
      </c>
      <c r="O491" s="6">
        <f>IFERROR(__xludf.DUMMYFUNCTION("IFERROR(
  IF(LEN(TRIM(B491))=6,
    DATE(2000+VALUE(RIGHT(TRIM(B491),2)),MATCH(LEFT(TRIM(B491),3),{""Jan"",""Feb"",""Mar"",""Apr"",""May"",""Jun"",""Jul"",""Aug"",""Sep"",""Oct"",""Nov"",""Dec""},0),15),
  IF(REGEXMATCH(TRIM(B491),""^\d{2}[/-]\d{2}[/-]\d"&amp;"{4}$""),
    DATE(VALUE(RIGHT(TRIM(B491),4)),VALUE(MID(TRIM(B491),4,2)),VALUE(LEFT(TRIM(B491),2))),
  DATEVALUE(TRIM(B491)))),
""CHECK"")"),45567.0)</f>
        <v>45567</v>
      </c>
      <c r="R491" s="2" t="str">
        <f t="shared" si="2"/>
        <v>Oct</v>
      </c>
      <c r="S491" s="2" t="str">
        <f t="shared" si="3"/>
        <v>Q4</v>
      </c>
      <c r="T491" s="2">
        <f t="shared" si="4"/>
        <v>130345.27</v>
      </c>
    </row>
    <row r="492">
      <c r="A492" s="5" t="s">
        <v>1115</v>
      </c>
      <c r="B492" s="5" t="s">
        <v>311</v>
      </c>
      <c r="C492" s="5" t="s">
        <v>22</v>
      </c>
      <c r="D492" s="5" t="s">
        <v>85</v>
      </c>
      <c r="E492" s="5" t="s">
        <v>63</v>
      </c>
      <c r="F492" s="5" t="s">
        <v>216</v>
      </c>
      <c r="G492" s="5">
        <v>21777.8</v>
      </c>
      <c r="H492" s="5" t="s">
        <v>26</v>
      </c>
      <c r="I492" s="5" t="s">
        <v>137</v>
      </c>
      <c r="J492" s="5" t="s">
        <v>49</v>
      </c>
      <c r="K492" s="5" t="s">
        <v>39</v>
      </c>
      <c r="L492" s="5"/>
      <c r="N492" s="2" t="str">
        <f t="shared" si="1"/>
        <v>Sales</v>
      </c>
      <c r="O492" s="6">
        <f>IFERROR(__xludf.DUMMYFUNCTION("IFERROR(
  IF(LEN(TRIM(B492))=6,
    DATE(2000+VALUE(RIGHT(TRIM(B492),2)),MATCH(LEFT(TRIM(B492),3),{""Jan"",""Feb"",""Mar"",""Apr"",""May"",""Jun"",""Jul"",""Aug"",""Sep"",""Oct"",""Nov"",""Dec""},0),15),
  IF(REGEXMATCH(TRIM(B492),""^\d{2}[/-]\d{2}[/-]\d"&amp;"{4}$""),
    DATE(VALUE(RIGHT(TRIM(B492),4)),VALUE(MID(TRIM(B492),4,2)),VALUE(LEFT(TRIM(B492),2))),
  DATEVALUE(TRIM(B492)))),
""CHECK"")"),45580.0)</f>
        <v>45580</v>
      </c>
      <c r="R492" s="2" t="str">
        <f t="shared" si="2"/>
        <v>Oct</v>
      </c>
      <c r="S492" s="2" t="str">
        <f t="shared" si="3"/>
        <v>Q4</v>
      </c>
      <c r="T492" s="2">
        <f t="shared" si="4"/>
        <v>21777.8</v>
      </c>
    </row>
    <row r="493">
      <c r="A493" s="7" t="s">
        <v>1116</v>
      </c>
      <c r="B493" s="7" t="s">
        <v>1117</v>
      </c>
      <c r="C493" s="7" t="s">
        <v>34</v>
      </c>
      <c r="D493" s="7" t="s">
        <v>90</v>
      </c>
      <c r="E493" s="7" t="s">
        <v>114</v>
      </c>
      <c r="F493" s="7" t="s">
        <v>945</v>
      </c>
      <c r="G493" s="7">
        <v>7136.24</v>
      </c>
      <c r="H493" s="7" t="s">
        <v>26</v>
      </c>
      <c r="I493" s="7" t="s">
        <v>37</v>
      </c>
      <c r="J493" s="7" t="s">
        <v>126</v>
      </c>
      <c r="K493" s="7" t="s">
        <v>29</v>
      </c>
      <c r="L493" s="7"/>
      <c r="N493" s="2" t="str">
        <f t="shared" si="1"/>
        <v>G&amp;A</v>
      </c>
      <c r="O493" s="6">
        <f>IFERROR(__xludf.DUMMYFUNCTION("IFERROR(
  IF(LEN(TRIM(B493))=6,
    DATE(2000+VALUE(RIGHT(TRIM(B493),2)),MATCH(LEFT(TRIM(B493),3),{""Jan"",""Feb"",""Mar"",""Apr"",""May"",""Jun"",""Jul"",""Aug"",""Sep"",""Oct"",""Nov"",""Dec""},0),15),
  IF(REGEXMATCH(TRIM(B493),""^\d{2}[/-]\d{2}[/-]\d"&amp;"{4}$""),
    DATE(VALUE(RIGHT(TRIM(B493),4)),VALUE(MID(TRIM(B493),4,2)),VALUE(LEFT(TRIM(B493),2))),
  DATEVALUE(TRIM(B493)))),
""CHECK"")"),45325.0)</f>
        <v>45325</v>
      </c>
      <c r="R493" s="2" t="str">
        <f t="shared" si="2"/>
        <v>Feb</v>
      </c>
      <c r="S493" s="2" t="str">
        <f t="shared" si="3"/>
        <v>Q1</v>
      </c>
      <c r="T493" s="2">
        <f t="shared" si="4"/>
        <v>7136.24</v>
      </c>
    </row>
    <row r="494">
      <c r="A494" s="5" t="s">
        <v>1118</v>
      </c>
      <c r="B494" s="5" t="s">
        <v>1119</v>
      </c>
      <c r="C494" s="5" t="s">
        <v>34</v>
      </c>
      <c r="D494" s="5" t="s">
        <v>82</v>
      </c>
      <c r="E494" s="5" t="s">
        <v>99</v>
      </c>
      <c r="F494" s="5" t="s">
        <v>107</v>
      </c>
      <c r="G494" s="5">
        <v>83834.87</v>
      </c>
      <c r="H494" s="5" t="s">
        <v>26</v>
      </c>
      <c r="I494" s="5" t="s">
        <v>37</v>
      </c>
      <c r="J494" s="5" t="s">
        <v>44</v>
      </c>
      <c r="K494" s="5" t="s">
        <v>29</v>
      </c>
      <c r="L494" s="5"/>
      <c r="N494" s="2" t="str">
        <f t="shared" si="1"/>
        <v>Engineering</v>
      </c>
      <c r="O494" s="6">
        <f>IFERROR(__xludf.DUMMYFUNCTION("IFERROR(
  IF(LEN(TRIM(B494))=6,
    DATE(2000+VALUE(RIGHT(TRIM(B494),2)),MATCH(LEFT(TRIM(B494),3),{""Jan"",""Feb"",""Mar"",""Apr"",""May"",""Jun"",""Jul"",""Aug"",""Sep"",""Oct"",""Nov"",""Dec""},0),15),
  IF(REGEXMATCH(TRIM(B494),""^\d{2}[/-]\d{2}[/-]\d"&amp;"{4}$""),
    DATE(VALUE(RIGHT(TRIM(B494),4)),VALUE(MID(TRIM(B494),4,2)),VALUE(LEFT(TRIM(B494),2))),
  DATEVALUE(TRIM(B494)))),
""CHECK"")"),45368.0)</f>
        <v>45368</v>
      </c>
      <c r="R494" s="2" t="str">
        <f t="shared" si="2"/>
        <v>Mar</v>
      </c>
      <c r="S494" s="2" t="str">
        <f t="shared" si="3"/>
        <v>Q1</v>
      </c>
      <c r="T494" s="2">
        <f t="shared" si="4"/>
        <v>83834.87</v>
      </c>
    </row>
    <row r="495">
      <c r="A495" s="7" t="s">
        <v>1120</v>
      </c>
      <c r="B495" s="7" t="s">
        <v>997</v>
      </c>
      <c r="C495" s="7" t="s">
        <v>22</v>
      </c>
      <c r="D495" s="7" t="s">
        <v>85</v>
      </c>
      <c r="E495" s="7" t="s">
        <v>111</v>
      </c>
      <c r="F495" s="7" t="s">
        <v>250</v>
      </c>
      <c r="G495" s="7">
        <v>12318.99</v>
      </c>
      <c r="H495" s="7" t="s">
        <v>26</v>
      </c>
      <c r="I495" s="7" t="s">
        <v>129</v>
      </c>
      <c r="J495" s="7" t="s">
        <v>38</v>
      </c>
      <c r="K495" s="7" t="s">
        <v>39</v>
      </c>
      <c r="L495" s="7"/>
      <c r="N495" s="2" t="str">
        <f t="shared" si="1"/>
        <v>Sales</v>
      </c>
      <c r="O495" s="6">
        <f>IFERROR(__xludf.DUMMYFUNCTION("IFERROR(
  IF(LEN(TRIM(B495))=6,
    DATE(2000+VALUE(RIGHT(TRIM(B495),2)),MATCH(LEFT(TRIM(B495),3),{""Jan"",""Feb"",""Mar"",""Apr"",""May"",""Jun"",""Jul"",""Aug"",""Sep"",""Oct"",""Nov"",""Dec""},0),15),
  IF(REGEXMATCH(TRIM(B495),""^\d{2}[/-]\d{2}[/-]\d"&amp;"{4}$""),
    DATE(VALUE(RIGHT(TRIM(B495),4)),VALUE(MID(TRIM(B495),4,2)),VALUE(LEFT(TRIM(B495),2))),
  DATEVALUE(TRIM(B495)))),
""CHECK"")"),45629.0)</f>
        <v>45629</v>
      </c>
      <c r="R495" s="2" t="str">
        <f t="shared" si="2"/>
        <v>Dec</v>
      </c>
      <c r="S495" s="2" t="str">
        <f t="shared" si="3"/>
        <v>Q4</v>
      </c>
      <c r="T495" s="2">
        <f t="shared" si="4"/>
        <v>12318.99</v>
      </c>
    </row>
    <row r="496">
      <c r="A496" s="5" t="s">
        <v>1121</v>
      </c>
      <c r="B496" s="5" t="s">
        <v>1122</v>
      </c>
      <c r="C496" s="5" t="s">
        <v>34</v>
      </c>
      <c r="D496" s="5" t="s">
        <v>31</v>
      </c>
      <c r="E496" s="5" t="s">
        <v>145</v>
      </c>
      <c r="F496" s="5" t="s">
        <v>500</v>
      </c>
      <c r="G496" s="5">
        <v>17690.91</v>
      </c>
      <c r="H496" s="5" t="s">
        <v>26</v>
      </c>
      <c r="I496" s="5" t="s">
        <v>103</v>
      </c>
      <c r="J496" s="5" t="s">
        <v>28</v>
      </c>
      <c r="K496" s="5" t="s">
        <v>29</v>
      </c>
      <c r="L496" s="5"/>
      <c r="N496" s="2" t="str">
        <f t="shared" si="1"/>
        <v>Cloud Infrastructure</v>
      </c>
      <c r="O496" s="6">
        <f>IFERROR(__xludf.DUMMYFUNCTION("IFERROR(
  IF(LEN(TRIM(B496))=6,
    DATE(2000+VALUE(RIGHT(TRIM(B496),2)),MATCH(LEFT(TRIM(B496),3),{""Jan"",""Feb"",""Mar"",""Apr"",""May"",""Jun"",""Jul"",""Aug"",""Sep"",""Oct"",""Nov"",""Dec""},0),15),
  IF(REGEXMATCH(TRIM(B496),""^\d{2}[/-]\d{2}[/-]\d"&amp;"{4}$""),
    DATE(VALUE(RIGHT(TRIM(B496),4)),VALUE(MID(TRIM(B496),4,2)),VALUE(LEFT(TRIM(B496),2))),
  DATEVALUE(TRIM(B496)))),
""CHECK"")"),45307.0)</f>
        <v>45307</v>
      </c>
      <c r="R496" s="2" t="str">
        <f t="shared" si="2"/>
        <v>Jan</v>
      </c>
      <c r="S496" s="2" t="str">
        <f t="shared" si="3"/>
        <v>Q1</v>
      </c>
      <c r="T496" s="2">
        <f t="shared" si="4"/>
        <v>17690.91</v>
      </c>
    </row>
    <row r="497">
      <c r="A497" s="7" t="s">
        <v>1123</v>
      </c>
      <c r="B497" s="7" t="s">
        <v>674</v>
      </c>
      <c r="C497" s="7" t="s">
        <v>22</v>
      </c>
      <c r="D497" s="7" t="s">
        <v>23</v>
      </c>
      <c r="E497" s="7" t="s">
        <v>24</v>
      </c>
      <c r="F497" s="7" t="s">
        <v>359</v>
      </c>
      <c r="G497" s="7">
        <v>87069.96</v>
      </c>
      <c r="H497" s="7" t="s">
        <v>26</v>
      </c>
      <c r="I497" s="7" t="s">
        <v>137</v>
      </c>
      <c r="J497" s="7" t="s">
        <v>66</v>
      </c>
      <c r="K497" s="7" t="s">
        <v>67</v>
      </c>
      <c r="L497" s="7"/>
      <c r="N497" s="2" t="str">
        <f t="shared" si="1"/>
        <v>Sales</v>
      </c>
      <c r="O497" s="6">
        <f>IFERROR(__xludf.DUMMYFUNCTION("IFERROR(
  IF(LEN(TRIM(B497))=6,
    DATE(2000+VALUE(RIGHT(TRIM(B497),2)),MATCH(LEFT(TRIM(B497),3),{""Jan"",""Feb"",""Mar"",""Apr"",""May"",""Jun"",""Jul"",""Aug"",""Sep"",""Oct"",""Nov"",""Dec""},0),15),
  IF(REGEXMATCH(TRIM(B497),""^\d{2}[/-]\d{2}[/-]\d"&amp;"{4}$""),
    DATE(VALUE(RIGHT(TRIM(B497),4)),VALUE(MID(TRIM(B497),4,2)),VALUE(LEFT(TRIM(B497),2))),
  DATEVALUE(TRIM(B497)))),
""CHECK"")"),45405.0)</f>
        <v>45405</v>
      </c>
      <c r="R497" s="2" t="str">
        <f t="shared" si="2"/>
        <v>Apr</v>
      </c>
      <c r="S497" s="2" t="str">
        <f t="shared" si="3"/>
        <v>Q2</v>
      </c>
      <c r="T497" s="2">
        <f t="shared" si="4"/>
        <v>87069.96</v>
      </c>
    </row>
    <row r="498">
      <c r="A498" s="5" t="s">
        <v>1124</v>
      </c>
      <c r="B498" s="5" t="s">
        <v>1125</v>
      </c>
      <c r="C498" s="5" t="s">
        <v>34</v>
      </c>
      <c r="D498" s="5" t="s">
        <v>54</v>
      </c>
      <c r="E498" s="5" t="s">
        <v>130</v>
      </c>
      <c r="F498" s="5" t="s">
        <v>47</v>
      </c>
      <c r="G498" s="5">
        <v>33681.55</v>
      </c>
      <c r="H498" s="5" t="s">
        <v>26</v>
      </c>
      <c r="I498" s="5" t="s">
        <v>48</v>
      </c>
      <c r="J498" s="5" t="s">
        <v>66</v>
      </c>
      <c r="K498" s="5" t="s">
        <v>67</v>
      </c>
      <c r="L498" s="5"/>
      <c r="N498" s="2" t="str">
        <f t="shared" si="1"/>
        <v>Marketing</v>
      </c>
      <c r="O498" s="6">
        <f>IFERROR(__xludf.DUMMYFUNCTION("IFERROR(
  IF(LEN(TRIM(B498))=6,
    DATE(2000+VALUE(RIGHT(TRIM(B498),2)),MATCH(LEFT(TRIM(B498),3),{""Jan"",""Feb"",""Mar"",""Apr"",""May"",""Jun"",""Jul"",""Aug"",""Sep"",""Oct"",""Nov"",""Dec""},0),15),
  IF(REGEXMATCH(TRIM(B498),""^\d{2}[/-]\d{2}[/-]\d"&amp;"{4}$""),
    DATE(VALUE(RIGHT(TRIM(B498),4)),VALUE(MID(TRIM(B498),4,2)),VALUE(LEFT(TRIM(B498),2))),
  DATEVALUE(TRIM(B498)))),
""CHECK"")"),45409.0)</f>
        <v>45409</v>
      </c>
      <c r="R498" s="2" t="str">
        <f t="shared" si="2"/>
        <v>Apr</v>
      </c>
      <c r="S498" s="2" t="str">
        <f t="shared" si="3"/>
        <v>Q2</v>
      </c>
      <c r="T498" s="2">
        <f t="shared" si="4"/>
        <v>33681.55</v>
      </c>
    </row>
    <row r="499">
      <c r="A499" s="7" t="s">
        <v>1126</v>
      </c>
      <c r="B499" s="7" t="s">
        <v>686</v>
      </c>
      <c r="C499" s="7" t="s">
        <v>34</v>
      </c>
      <c r="D499" s="7" t="s">
        <v>54</v>
      </c>
      <c r="E499" s="7" t="s">
        <v>130</v>
      </c>
      <c r="F499" s="7" t="s">
        <v>230</v>
      </c>
      <c r="G499" s="7">
        <v>44052.32</v>
      </c>
      <c r="H499" s="7" t="s">
        <v>26</v>
      </c>
      <c r="I499" s="7" t="s">
        <v>231</v>
      </c>
      <c r="J499" s="7" t="s">
        <v>113</v>
      </c>
      <c r="K499" s="7" t="s">
        <v>67</v>
      </c>
      <c r="L499" s="7"/>
      <c r="N499" s="2" t="str">
        <f t="shared" si="1"/>
        <v>Marketing</v>
      </c>
      <c r="O499" s="6">
        <f>IFERROR(__xludf.DUMMYFUNCTION("IFERROR(
  IF(LEN(TRIM(B499))=6,
    DATE(2000+VALUE(RIGHT(TRIM(B499),2)),MATCH(LEFT(TRIM(B499),3),{""Jan"",""Feb"",""Mar"",""Apr"",""May"",""Jun"",""Jul"",""Aug"",""Sep"",""Oct"",""Nov"",""Dec""},0),15),
  IF(REGEXMATCH(TRIM(B499),""^\d{2}[/-]\d{2}[/-]\d"&amp;"{4}$""),
    DATE(VALUE(RIGHT(TRIM(B499),4)),VALUE(MID(TRIM(B499),4,2)),VALUE(LEFT(TRIM(B499),2))),
  DATEVALUE(TRIM(B499)))),
""CHECK"")"),45906.0)</f>
        <v>45906</v>
      </c>
      <c r="R499" s="2" t="str">
        <f t="shared" si="2"/>
        <v>Sep</v>
      </c>
      <c r="S499" s="2" t="str">
        <f t="shared" si="3"/>
        <v>Q3</v>
      </c>
      <c r="T499" s="2">
        <f t="shared" si="4"/>
        <v>44052.32</v>
      </c>
    </row>
    <row r="500">
      <c r="A500" s="5" t="s">
        <v>1127</v>
      </c>
      <c r="B500" s="5" t="s">
        <v>1128</v>
      </c>
      <c r="C500" s="5" t="s">
        <v>22</v>
      </c>
      <c r="D500" s="5" t="s">
        <v>23</v>
      </c>
      <c r="E500" s="5" t="s">
        <v>111</v>
      </c>
      <c r="F500" s="5" t="s">
        <v>521</v>
      </c>
      <c r="G500" s="5">
        <v>150303.33</v>
      </c>
      <c r="H500" s="5" t="s">
        <v>26</v>
      </c>
      <c r="I500" s="5" t="s">
        <v>72</v>
      </c>
      <c r="J500" s="5" t="s">
        <v>87</v>
      </c>
      <c r="K500" s="5" t="s">
        <v>67</v>
      </c>
      <c r="L500" s="5"/>
      <c r="N500" s="2" t="str">
        <f t="shared" si="1"/>
        <v>Sales</v>
      </c>
      <c r="O500" s="6">
        <f>IFERROR(__xludf.DUMMYFUNCTION("IFERROR(
  IF(LEN(TRIM(B500))=6,
    DATE(2000+VALUE(RIGHT(TRIM(B500),2)),MATCH(LEFT(TRIM(B500),3),{""Jan"",""Feb"",""Mar"",""Apr"",""May"",""Jun"",""Jul"",""Aug"",""Sep"",""Oct"",""Nov"",""Dec""},0),15),
  IF(REGEXMATCH(TRIM(B500),""^\d{2}[/-]\d{2}[/-]\d"&amp;"{4}$""),
    DATE(VALUE(RIGHT(TRIM(B500),4)),VALUE(MID(TRIM(B500),4,2)),VALUE(LEFT(TRIM(B500),2))),
  DATEVALUE(TRIM(B500)))),
""CHECK"")"),45435.0)</f>
        <v>45435</v>
      </c>
      <c r="R500" s="2" t="str">
        <f t="shared" si="2"/>
        <v>May</v>
      </c>
      <c r="S500" s="2" t="str">
        <f t="shared" si="3"/>
        <v>Q2</v>
      </c>
      <c r="T500" s="2">
        <f t="shared" si="4"/>
        <v>150303.33</v>
      </c>
    </row>
    <row r="501">
      <c r="A501" s="7" t="s">
        <v>1129</v>
      </c>
      <c r="B501" s="7" t="s">
        <v>856</v>
      </c>
      <c r="C501" s="7" t="s">
        <v>22</v>
      </c>
      <c r="D501" s="7" t="s">
        <v>85</v>
      </c>
      <c r="E501" s="7" t="s">
        <v>97</v>
      </c>
      <c r="F501" s="7" t="s">
        <v>272</v>
      </c>
      <c r="G501" s="7">
        <v>18561.63</v>
      </c>
      <c r="H501" s="7" t="s">
        <v>26</v>
      </c>
      <c r="I501" s="7" t="s">
        <v>43</v>
      </c>
      <c r="J501" s="7" t="s">
        <v>87</v>
      </c>
      <c r="K501" s="7" t="s">
        <v>67</v>
      </c>
      <c r="L501" s="7"/>
      <c r="N501" s="2" t="str">
        <f t="shared" si="1"/>
        <v>Sales</v>
      </c>
      <c r="O501" s="6">
        <f>IFERROR(__xludf.DUMMYFUNCTION("IFERROR(
  IF(LEN(TRIM(B501))=6,
    DATE(2000+VALUE(RIGHT(TRIM(B501),2)),MATCH(LEFT(TRIM(B501),3),{""Jan"",""Feb"",""Mar"",""Apr"",""May"",""Jun"",""Jul"",""Aug"",""Sep"",""Oct"",""Nov"",""Dec""},0),15),
  IF(REGEXMATCH(TRIM(B501),""^\d{2}[/-]\d{2}[/-]\d"&amp;"{4}$""),
    DATE(VALUE(RIGHT(TRIM(B501),4)),VALUE(MID(TRIM(B501),4,2)),VALUE(LEFT(TRIM(B501),2))),
  DATEVALUE(TRIM(B501)))),
""CHECK"")"),45443.0)</f>
        <v>45443</v>
      </c>
      <c r="R501" s="2" t="str">
        <f t="shared" si="2"/>
        <v>May</v>
      </c>
      <c r="S501" s="2" t="str">
        <f t="shared" si="3"/>
        <v>Q2</v>
      </c>
      <c r="T501" s="2">
        <f t="shared" si="4"/>
        <v>18561.63</v>
      </c>
    </row>
    <row r="502">
      <c r="A502" s="5" t="s">
        <v>1130</v>
      </c>
      <c r="B502" s="5" t="s">
        <v>89</v>
      </c>
      <c r="C502" s="5" t="s">
        <v>34</v>
      </c>
      <c r="D502" s="5" t="s">
        <v>51</v>
      </c>
      <c r="E502" s="5" t="s">
        <v>74</v>
      </c>
      <c r="F502" s="5" t="s">
        <v>397</v>
      </c>
      <c r="G502" s="5">
        <v>19192.1</v>
      </c>
      <c r="H502" s="5" t="s">
        <v>26</v>
      </c>
      <c r="I502" s="5" t="s">
        <v>168</v>
      </c>
      <c r="J502" s="5" t="s">
        <v>73</v>
      </c>
      <c r="K502" s="5" t="s">
        <v>59</v>
      </c>
      <c r="L502" s="5"/>
      <c r="N502" s="2" t="str">
        <f t="shared" si="1"/>
        <v>Customer Success</v>
      </c>
      <c r="O502" s="6">
        <f>IFERROR(__xludf.DUMMYFUNCTION("IFERROR(
  IF(LEN(TRIM(B502))=6,
    DATE(2000+VALUE(RIGHT(TRIM(B502),2)),MATCH(LEFT(TRIM(B502),3),{""Jan"",""Feb"",""Mar"",""Apr"",""May"",""Jun"",""Jul"",""Aug"",""Sep"",""Oct"",""Nov"",""Dec""},0),15),
  IF(REGEXMATCH(TRIM(B502),""^\d{2}[/-]\d{2}[/-]\d"&amp;"{4}$""),
    DATE(VALUE(RIGHT(TRIM(B502),4)),VALUE(MID(TRIM(B502),4,2)),VALUE(LEFT(TRIM(B502),2))),
  DATEVALUE(TRIM(B502)))),
""CHECK"")"),45550.0)</f>
        <v>45550</v>
      </c>
      <c r="R502" s="2" t="str">
        <f t="shared" si="2"/>
        <v>Sep</v>
      </c>
      <c r="S502" s="2" t="str">
        <f t="shared" si="3"/>
        <v>Q3</v>
      </c>
      <c r="T502" s="2">
        <f t="shared" si="4"/>
        <v>19192.1</v>
      </c>
    </row>
    <row r="503">
      <c r="A503" s="7" t="s">
        <v>1131</v>
      </c>
      <c r="B503" s="7" t="s">
        <v>1132</v>
      </c>
      <c r="C503" s="7" t="s">
        <v>34</v>
      </c>
      <c r="D503" s="7" t="s">
        <v>90</v>
      </c>
      <c r="E503" s="7" t="s">
        <v>104</v>
      </c>
      <c r="F503" s="7" t="s">
        <v>887</v>
      </c>
      <c r="G503" s="7">
        <v>6409.59</v>
      </c>
      <c r="H503" s="7" t="s">
        <v>26</v>
      </c>
      <c r="I503" s="7" t="s">
        <v>394</v>
      </c>
      <c r="J503" s="7" t="s">
        <v>49</v>
      </c>
      <c r="K503" s="7" t="s">
        <v>39</v>
      </c>
      <c r="L503" s="7"/>
      <c r="N503" s="2" t="str">
        <f t="shared" si="1"/>
        <v>G&amp;A</v>
      </c>
      <c r="O503" s="6">
        <f>IFERROR(__xludf.DUMMYFUNCTION("IFERROR(
  IF(LEN(TRIM(B503))=6,
    DATE(2000+VALUE(RIGHT(TRIM(B503),2)),MATCH(LEFT(TRIM(B503),3),{""Jan"",""Feb"",""Mar"",""Apr"",""May"",""Jun"",""Jul"",""Aug"",""Sep"",""Oct"",""Nov"",""Dec""},0),15),
  IF(REGEXMATCH(TRIM(B503),""^\d{2}[/-]\d{2}[/-]\d"&amp;"{4}$""),
    DATE(VALUE(RIGHT(TRIM(B503),4)),VALUE(MID(TRIM(B503),4,2)),VALUE(LEFT(TRIM(B503),2))),
  DATEVALUE(TRIM(B503)))),
""CHECK"")"),45579.0)</f>
        <v>45579</v>
      </c>
      <c r="R503" s="2" t="str">
        <f t="shared" si="2"/>
        <v>Oct</v>
      </c>
      <c r="S503" s="2" t="str">
        <f t="shared" si="3"/>
        <v>Q4</v>
      </c>
      <c r="T503" s="2">
        <f t="shared" si="4"/>
        <v>6409.59</v>
      </c>
    </row>
    <row r="504">
      <c r="A504" s="5" t="s">
        <v>1133</v>
      </c>
      <c r="B504" s="5" t="s">
        <v>1134</v>
      </c>
      <c r="C504" s="5" t="s">
        <v>22</v>
      </c>
      <c r="D504" s="5" t="s">
        <v>62</v>
      </c>
      <c r="E504" s="5" t="s">
        <v>111</v>
      </c>
      <c r="F504" s="5" t="s">
        <v>284</v>
      </c>
      <c r="G504" s="5">
        <v>11526.47</v>
      </c>
      <c r="H504" s="5" t="s">
        <v>26</v>
      </c>
      <c r="I504" s="5" t="s">
        <v>213</v>
      </c>
      <c r="J504" s="5" t="s">
        <v>73</v>
      </c>
      <c r="K504" s="5" t="s">
        <v>59</v>
      </c>
      <c r="L504" s="5"/>
      <c r="N504" s="2" t="str">
        <f t="shared" si="1"/>
        <v>Sales</v>
      </c>
      <c r="O504" s="6">
        <f>IFERROR(__xludf.DUMMYFUNCTION("IFERROR(
  IF(LEN(TRIM(B504))=6,
    DATE(2000+VALUE(RIGHT(TRIM(B504),2)),MATCH(LEFT(TRIM(B504),3),{""Jan"",""Feb"",""Mar"",""Apr"",""May"",""Jun"",""Jul"",""Aug"",""Sep"",""Oct"",""Nov"",""Dec""},0),15),
  IF(REGEXMATCH(TRIM(B504),""^\d{2}[/-]\d{2}[/-]\d"&amp;"{4}$""),
    DATE(VALUE(RIGHT(TRIM(B504),4)),VALUE(MID(TRIM(B504),4,2)),VALUE(LEFT(TRIM(B504),2))),
  DATEVALUE(TRIM(B504)))),
""CHECK"")"),45558.0)</f>
        <v>45558</v>
      </c>
      <c r="R504" s="2" t="str">
        <f t="shared" si="2"/>
        <v>Sep</v>
      </c>
      <c r="S504" s="2" t="str">
        <f t="shared" si="3"/>
        <v>Q3</v>
      </c>
      <c r="T504" s="2">
        <f t="shared" si="4"/>
        <v>11526.47</v>
      </c>
    </row>
    <row r="505">
      <c r="A505" s="7" t="s">
        <v>1135</v>
      </c>
      <c r="B505" s="7" t="s">
        <v>1136</v>
      </c>
      <c r="C505" s="7" t="s">
        <v>34</v>
      </c>
      <c r="D505" s="7" t="s">
        <v>90</v>
      </c>
      <c r="E505" s="7" t="s">
        <v>90</v>
      </c>
      <c r="F505" s="7" t="s">
        <v>1137</v>
      </c>
      <c r="G505" s="7">
        <v>15847.41</v>
      </c>
      <c r="H505" s="7" t="s">
        <v>26</v>
      </c>
      <c r="I505" s="7" t="s">
        <v>80</v>
      </c>
      <c r="J505" s="7" t="s">
        <v>87</v>
      </c>
      <c r="K505" s="7" t="s">
        <v>67</v>
      </c>
      <c r="L505" s="7"/>
      <c r="N505" s="2" t="str">
        <f t="shared" si="1"/>
        <v>G&amp;A</v>
      </c>
      <c r="O505" s="6">
        <f>IFERROR(__xludf.DUMMYFUNCTION("IFERROR(
  IF(LEN(TRIM(B505))=6,
    DATE(2000+VALUE(RIGHT(TRIM(B505),2)),MATCH(LEFT(TRIM(B505),3),{""Jan"",""Feb"",""Mar"",""Apr"",""May"",""Jun"",""Jul"",""Aug"",""Sep"",""Oct"",""Nov"",""Dec""},0),15),
  IF(REGEXMATCH(TRIM(B505),""^\d{2}[/-]\d{2}[/-]\d"&amp;"{4}$""),
    DATE(VALUE(RIGHT(TRIM(B505),4)),VALUE(MID(TRIM(B505),4,2)),VALUE(LEFT(TRIM(B505),2))),
  DATEVALUE(TRIM(B505)))),
""CHECK"")"),45432.0)</f>
        <v>45432</v>
      </c>
      <c r="R505" s="2" t="str">
        <f t="shared" si="2"/>
        <v>May</v>
      </c>
      <c r="S505" s="2" t="str">
        <f t="shared" si="3"/>
        <v>Q2</v>
      </c>
      <c r="T505" s="2">
        <f t="shared" si="4"/>
        <v>15847.41</v>
      </c>
    </row>
    <row r="506">
      <c r="A506" s="5" t="s">
        <v>1138</v>
      </c>
      <c r="B506" s="5" t="s">
        <v>311</v>
      </c>
      <c r="C506" s="5" t="s">
        <v>34</v>
      </c>
      <c r="D506" s="5" t="s">
        <v>54</v>
      </c>
      <c r="E506" s="5" t="s">
        <v>196</v>
      </c>
      <c r="F506" s="5" t="s">
        <v>312</v>
      </c>
      <c r="G506" s="5">
        <v>27190.14</v>
      </c>
      <c r="H506" s="5" t="s">
        <v>26</v>
      </c>
      <c r="I506" s="5" t="s">
        <v>231</v>
      </c>
      <c r="J506" s="5" t="s">
        <v>49</v>
      </c>
      <c r="K506" s="5" t="s">
        <v>39</v>
      </c>
      <c r="L506" s="5"/>
      <c r="N506" s="2" t="str">
        <f t="shared" si="1"/>
        <v>Marketing</v>
      </c>
      <c r="O506" s="6">
        <f>IFERROR(__xludf.DUMMYFUNCTION("IFERROR(
  IF(LEN(TRIM(B506))=6,
    DATE(2000+VALUE(RIGHT(TRIM(B506),2)),MATCH(LEFT(TRIM(B506),3),{""Jan"",""Feb"",""Mar"",""Apr"",""May"",""Jun"",""Jul"",""Aug"",""Sep"",""Oct"",""Nov"",""Dec""},0),15),
  IF(REGEXMATCH(TRIM(B506),""^\d{2}[/-]\d{2}[/-]\d"&amp;"{4}$""),
    DATE(VALUE(RIGHT(TRIM(B506),4)),VALUE(MID(TRIM(B506),4,2)),VALUE(LEFT(TRIM(B506),2))),
  DATEVALUE(TRIM(B506)))),
""CHECK"")"),45580.0)</f>
        <v>45580</v>
      </c>
      <c r="R506" s="2" t="str">
        <f t="shared" si="2"/>
        <v>Oct</v>
      </c>
      <c r="S506" s="2" t="str">
        <f t="shared" si="3"/>
        <v>Q4</v>
      </c>
      <c r="T506" s="2">
        <f t="shared" si="4"/>
        <v>27190.14</v>
      </c>
    </row>
    <row r="507">
      <c r="A507" s="7" t="s">
        <v>1139</v>
      </c>
      <c r="B507" s="7" t="s">
        <v>1140</v>
      </c>
      <c r="C507" s="7" t="s">
        <v>34</v>
      </c>
      <c r="D507" s="7" t="s">
        <v>31</v>
      </c>
      <c r="E507" s="7" t="s">
        <v>35</v>
      </c>
      <c r="F507" s="7" t="s">
        <v>995</v>
      </c>
      <c r="G507" s="7">
        <v>38410.74</v>
      </c>
      <c r="H507" s="7" t="s">
        <v>26</v>
      </c>
      <c r="I507" s="7" t="s">
        <v>206</v>
      </c>
      <c r="J507" s="7" t="s">
        <v>142</v>
      </c>
      <c r="K507" s="7" t="s">
        <v>39</v>
      </c>
      <c r="L507" s="7"/>
      <c r="N507" s="2" t="str">
        <f t="shared" si="1"/>
        <v>Cloud Infrastructure</v>
      </c>
      <c r="O507" s="6">
        <f>IFERROR(__xludf.DUMMYFUNCTION("IFERROR(
  IF(LEN(TRIM(B507))=6,
    DATE(2000+VALUE(RIGHT(TRIM(B507),2)),MATCH(LEFT(TRIM(B507),3),{""Jan"",""Feb"",""Mar"",""Apr"",""May"",""Jun"",""Jul"",""Aug"",""Sep"",""Oct"",""Nov"",""Dec""},0),15),
  IF(REGEXMATCH(TRIM(B507),""^\d{2}[/-]\d{2}[/-]\d"&amp;"{4}$""),
    DATE(VALUE(RIGHT(TRIM(B507),4)),VALUE(MID(TRIM(B507),4,2)),VALUE(LEFT(TRIM(B507),2))),
  DATEVALUE(TRIM(B507)))),
""CHECK"")"),45609.0)</f>
        <v>45609</v>
      </c>
      <c r="R507" s="2" t="str">
        <f t="shared" si="2"/>
        <v>Nov</v>
      </c>
      <c r="S507" s="2" t="str">
        <f t="shared" si="3"/>
        <v>Q4</v>
      </c>
      <c r="T507" s="2">
        <f t="shared" si="4"/>
        <v>38410.74</v>
      </c>
    </row>
    <row r="508">
      <c r="A508" s="5" t="s">
        <v>1141</v>
      </c>
      <c r="B508" s="5" t="s">
        <v>1142</v>
      </c>
      <c r="C508" s="5" t="s">
        <v>34</v>
      </c>
      <c r="D508" s="5" t="s">
        <v>31</v>
      </c>
      <c r="E508" s="5" t="s">
        <v>145</v>
      </c>
      <c r="F508" s="5" t="s">
        <v>538</v>
      </c>
      <c r="G508" s="5">
        <v>47916.7</v>
      </c>
      <c r="H508" s="5" t="s">
        <v>26</v>
      </c>
      <c r="I508" s="5" t="s">
        <v>231</v>
      </c>
      <c r="J508" s="5" t="s">
        <v>66</v>
      </c>
      <c r="K508" s="5" t="s">
        <v>67</v>
      </c>
      <c r="L508" s="5"/>
      <c r="N508" s="2" t="str">
        <f t="shared" si="1"/>
        <v>Cloud Infrastructure</v>
      </c>
      <c r="O508" s="6">
        <f>IFERROR(__xludf.DUMMYFUNCTION("IFERROR(
  IF(LEN(TRIM(B508))=6,
    DATE(2000+VALUE(RIGHT(TRIM(B508),2)),MATCH(LEFT(TRIM(B508),3),{""Jan"",""Feb"",""Mar"",""Apr"",""May"",""Jun"",""Jul"",""Aug"",""Sep"",""Oct"",""Nov"",""Dec""},0),15),
  IF(REGEXMATCH(TRIM(B508),""^\d{2}[/-]\d{2}[/-]\d"&amp;"{4}$""),
    DATE(VALUE(RIGHT(TRIM(B508),4)),VALUE(MID(TRIM(B508),4,2)),VALUE(LEFT(TRIM(B508),2))),
  DATEVALUE(TRIM(B508)))),
""CHECK"")"),45873.0)</f>
        <v>45873</v>
      </c>
      <c r="R508" s="2" t="str">
        <f t="shared" si="2"/>
        <v>Aug</v>
      </c>
      <c r="S508" s="2" t="str">
        <f t="shared" si="3"/>
        <v>Q3</v>
      </c>
      <c r="T508" s="2">
        <f t="shared" si="4"/>
        <v>47916.7</v>
      </c>
    </row>
    <row r="509">
      <c r="A509" s="7" t="s">
        <v>1143</v>
      </c>
      <c r="B509" s="7" t="s">
        <v>337</v>
      </c>
      <c r="C509" s="7" t="s">
        <v>22</v>
      </c>
      <c r="D509" s="7" t="s">
        <v>23</v>
      </c>
      <c r="E509" s="7" t="s">
        <v>63</v>
      </c>
      <c r="F509" s="7" t="s">
        <v>227</v>
      </c>
      <c r="G509" s="7">
        <v>216608.07</v>
      </c>
      <c r="H509" s="7" t="s">
        <v>26</v>
      </c>
      <c r="I509" s="7" t="s">
        <v>65</v>
      </c>
      <c r="J509" s="7" t="s">
        <v>142</v>
      </c>
      <c r="K509" s="7" t="s">
        <v>39</v>
      </c>
      <c r="L509" s="7"/>
      <c r="N509" s="2" t="str">
        <f t="shared" si="1"/>
        <v>Sales</v>
      </c>
      <c r="O509" s="6">
        <f>IFERROR(__xludf.DUMMYFUNCTION("IFERROR(
  IF(LEN(TRIM(B509))=6,
    DATE(2000+VALUE(RIGHT(TRIM(B509),2)),MATCH(LEFT(TRIM(B509),3),{""Jan"",""Feb"",""Mar"",""Apr"",""May"",""Jun"",""Jul"",""Aug"",""Sep"",""Oct"",""Nov"",""Dec""},0),15),
  IF(REGEXMATCH(TRIM(B509),""^\d{2}[/-]\d{2}[/-]\d"&amp;"{4}$""),
    DATE(VALUE(RIGHT(TRIM(B509),4)),VALUE(MID(TRIM(B509),4,2)),VALUE(LEFT(TRIM(B509),2))),
  DATEVALUE(TRIM(B509)))),
""CHECK"")"),45611.0)</f>
        <v>45611</v>
      </c>
      <c r="R509" s="2" t="str">
        <f t="shared" si="2"/>
        <v>Nov</v>
      </c>
      <c r="S509" s="2" t="str">
        <f t="shared" si="3"/>
        <v>Q4</v>
      </c>
      <c r="T509" s="2">
        <f t="shared" si="4"/>
        <v>216608.07</v>
      </c>
    </row>
    <row r="510">
      <c r="A510" s="5" t="s">
        <v>1144</v>
      </c>
      <c r="B510" s="5" t="s">
        <v>833</v>
      </c>
      <c r="C510" s="5" t="s">
        <v>34</v>
      </c>
      <c r="D510" s="5" t="s">
        <v>51</v>
      </c>
      <c r="E510" s="5" t="s">
        <v>68</v>
      </c>
      <c r="F510" s="5" t="s">
        <v>1145</v>
      </c>
      <c r="G510" s="5">
        <v>8160.57</v>
      </c>
      <c r="H510" s="5" t="s">
        <v>26</v>
      </c>
      <c r="I510" s="5" t="s">
        <v>37</v>
      </c>
      <c r="J510" s="5" t="s">
        <v>38</v>
      </c>
      <c r="K510" s="5" t="s">
        <v>39</v>
      </c>
      <c r="L510" s="5"/>
      <c r="N510" s="2" t="str">
        <f t="shared" si="1"/>
        <v>Customer Success</v>
      </c>
      <c r="O510" s="6">
        <f>IFERROR(__xludf.DUMMYFUNCTION("IFERROR(
  IF(LEN(TRIM(B510))=6,
    DATE(2000+VALUE(RIGHT(TRIM(B510),2)),MATCH(LEFT(TRIM(B510),3),{""Jan"",""Feb"",""Mar"",""Apr"",""May"",""Jun"",""Jul"",""Aug"",""Sep"",""Oct"",""Nov"",""Dec""},0),15),
  IF(REGEXMATCH(TRIM(B510),""^\d{2}[/-]\d{2}[/-]\d"&amp;"{4}$""),
    DATE(VALUE(RIGHT(TRIM(B510),4)),VALUE(MID(TRIM(B510),4,2)),VALUE(LEFT(TRIM(B510),2))),
  DATEVALUE(TRIM(B510)))),
""CHECK"")"),45650.0)</f>
        <v>45650</v>
      </c>
      <c r="R510" s="2" t="str">
        <f t="shared" si="2"/>
        <v>Dec</v>
      </c>
      <c r="S510" s="2" t="str">
        <f t="shared" si="3"/>
        <v>Q4</v>
      </c>
      <c r="T510" s="2">
        <f t="shared" si="4"/>
        <v>8160.57</v>
      </c>
    </row>
    <row r="511">
      <c r="A511" s="7" t="s">
        <v>1146</v>
      </c>
      <c r="B511" s="7" t="s">
        <v>1147</v>
      </c>
      <c r="C511" s="7" t="s">
        <v>34</v>
      </c>
      <c r="D511" s="7" t="s">
        <v>82</v>
      </c>
      <c r="E511" s="7" t="s">
        <v>418</v>
      </c>
      <c r="F511" s="7" t="s">
        <v>205</v>
      </c>
      <c r="G511" s="7">
        <v>-9645.64</v>
      </c>
      <c r="H511" s="7" t="s">
        <v>26</v>
      </c>
      <c r="I511" s="7" t="s">
        <v>206</v>
      </c>
      <c r="J511" s="7" t="s">
        <v>66</v>
      </c>
      <c r="K511" s="7" t="s">
        <v>67</v>
      </c>
      <c r="L511" s="7"/>
      <c r="N511" s="2" t="str">
        <f t="shared" si="1"/>
        <v>Engineering</v>
      </c>
      <c r="O511" s="6">
        <f>IFERROR(__xludf.DUMMYFUNCTION("IFERROR(
  IF(LEN(TRIM(B511))=6,
    DATE(2000+VALUE(RIGHT(TRIM(B511),2)),MATCH(LEFT(TRIM(B511),3),{""Jan"",""Feb"",""Mar"",""Apr"",""May"",""Jun"",""Jul"",""Aug"",""Sep"",""Oct"",""Nov"",""Dec""},0),15),
  IF(REGEXMATCH(TRIM(B511),""^\d{2}[/-]\d{2}[/-]\d"&amp;"{4}$""),
    DATE(VALUE(RIGHT(TRIM(B511),4)),VALUE(MID(TRIM(B511),4,2)),VALUE(LEFT(TRIM(B511),2))),
  DATEVALUE(TRIM(B511)))),
""CHECK"")"),45395.0)</f>
        <v>45395</v>
      </c>
      <c r="R511" s="2" t="str">
        <f t="shared" si="2"/>
        <v>Apr</v>
      </c>
      <c r="S511" s="2" t="str">
        <f t="shared" si="3"/>
        <v>Q2</v>
      </c>
      <c r="T511" s="2">
        <f t="shared" si="4"/>
        <v>-9645.64</v>
      </c>
    </row>
    <row r="512">
      <c r="A512" s="5" t="s">
        <v>1148</v>
      </c>
      <c r="B512" s="5" t="s">
        <v>1149</v>
      </c>
      <c r="C512" s="5" t="s">
        <v>22</v>
      </c>
      <c r="D512" s="5" t="s">
        <v>23</v>
      </c>
      <c r="E512" s="5" t="s">
        <v>63</v>
      </c>
      <c r="F512" s="5" t="s">
        <v>187</v>
      </c>
      <c r="G512" s="5">
        <v>159598.23</v>
      </c>
      <c r="H512" s="5" t="s">
        <v>26</v>
      </c>
      <c r="I512" s="5" t="s">
        <v>134</v>
      </c>
      <c r="J512" s="5" t="s">
        <v>66</v>
      </c>
      <c r="K512" s="5" t="s">
        <v>67</v>
      </c>
      <c r="L512" s="5"/>
      <c r="N512" s="2" t="str">
        <f t="shared" si="1"/>
        <v>Sales</v>
      </c>
      <c r="O512" s="6">
        <f>IFERROR(__xludf.DUMMYFUNCTION("IFERROR(
  IF(LEN(TRIM(B512))=6,
    DATE(2000+VALUE(RIGHT(TRIM(B512),2)),MATCH(LEFT(TRIM(B512),3),{""Jan"",""Feb"",""Mar"",""Apr"",""May"",""Jun"",""Jul"",""Aug"",""Sep"",""Oct"",""Nov"",""Dec""},0),15),
  IF(REGEXMATCH(TRIM(B512),""^\d{2}[/-]\d{2}[/-]\d"&amp;"{4}$""),
    DATE(VALUE(RIGHT(TRIM(B512),4)),VALUE(MID(TRIM(B512),4,2)),VALUE(LEFT(TRIM(B512),2))),
  DATEVALUE(TRIM(B512)))),
""CHECK"")"),45398.0)</f>
        <v>45398</v>
      </c>
      <c r="R512" s="2" t="str">
        <f t="shared" si="2"/>
        <v>Apr</v>
      </c>
      <c r="S512" s="2" t="str">
        <f t="shared" si="3"/>
        <v>Q2</v>
      </c>
      <c r="T512" s="2">
        <f t="shared" si="4"/>
        <v>159598.23</v>
      </c>
    </row>
    <row r="513">
      <c r="A513" s="7" t="s">
        <v>1150</v>
      </c>
      <c r="B513" s="7" t="s">
        <v>1151</v>
      </c>
      <c r="C513" s="7" t="s">
        <v>22</v>
      </c>
      <c r="D513" s="7" t="s">
        <v>62</v>
      </c>
      <c r="E513" s="7" t="s">
        <v>24</v>
      </c>
      <c r="F513" s="7" t="s">
        <v>64</v>
      </c>
      <c r="G513" s="7">
        <v>8178.69</v>
      </c>
      <c r="H513" s="7" t="s">
        <v>26</v>
      </c>
      <c r="I513" s="7" t="s">
        <v>72</v>
      </c>
      <c r="J513" s="7" t="s">
        <v>66</v>
      </c>
      <c r="K513" s="7" t="s">
        <v>67</v>
      </c>
      <c r="L513" s="7"/>
      <c r="N513" s="2" t="str">
        <f t="shared" si="1"/>
        <v>Sales</v>
      </c>
      <c r="O513" s="6">
        <f>IFERROR(__xludf.DUMMYFUNCTION("IFERROR(
  IF(LEN(TRIM(B513))=6,
    DATE(2000+VALUE(RIGHT(TRIM(B513),2)),MATCH(LEFT(TRIM(B513),3),{""Jan"",""Feb"",""Mar"",""Apr"",""May"",""Jun"",""Jul"",""Aug"",""Sep"",""Oct"",""Nov"",""Dec""},0),15),
  IF(REGEXMATCH(TRIM(B513),""^\d{2}[/-]\d{2}[/-]\d"&amp;"{4}$""),
    DATE(VALUE(RIGHT(TRIM(B513),4)),VALUE(MID(TRIM(B513),4,2)),VALUE(LEFT(TRIM(B513),2))),
  DATEVALUE(TRIM(B513)))),
""CHECK"")"),45395.0)</f>
        <v>45395</v>
      </c>
      <c r="R513" s="2" t="str">
        <f t="shared" si="2"/>
        <v>Apr</v>
      </c>
      <c r="S513" s="2" t="str">
        <f t="shared" si="3"/>
        <v>Q2</v>
      </c>
      <c r="T513" s="2">
        <f t="shared" si="4"/>
        <v>8178.69</v>
      </c>
    </row>
    <row r="514">
      <c r="A514" s="5" t="s">
        <v>1152</v>
      </c>
      <c r="B514" s="5" t="s">
        <v>1153</v>
      </c>
      <c r="C514" s="5" t="s">
        <v>22</v>
      </c>
      <c r="D514" s="5" t="s">
        <v>85</v>
      </c>
      <c r="E514" s="5" t="s">
        <v>97</v>
      </c>
      <c r="F514" s="5" t="s">
        <v>216</v>
      </c>
      <c r="G514" s="5">
        <v>30746.2</v>
      </c>
      <c r="H514" s="5" t="s">
        <v>26</v>
      </c>
      <c r="I514" s="5" t="s">
        <v>129</v>
      </c>
      <c r="J514" s="5" t="s">
        <v>142</v>
      </c>
      <c r="K514" s="5" t="s">
        <v>39</v>
      </c>
      <c r="L514" s="5"/>
      <c r="N514" s="2" t="str">
        <f t="shared" si="1"/>
        <v>Sales</v>
      </c>
      <c r="O514" s="6">
        <f>IFERROR(__xludf.DUMMYFUNCTION("IFERROR(
  IF(LEN(TRIM(B514))=6,
    DATE(2000+VALUE(RIGHT(TRIM(B514),2)),MATCH(LEFT(TRIM(B514),3),{""Jan"",""Feb"",""Mar"",""Apr"",""May"",""Jun"",""Jul"",""Aug"",""Sep"",""Oct"",""Nov"",""Dec""},0),15),
  IF(REGEXMATCH(TRIM(B514),""^\d{2}[/-]\d{2}[/-]\d"&amp;"{4}$""),
    DATE(VALUE(RIGHT(TRIM(B514),4)),VALUE(MID(TRIM(B514),4,2)),VALUE(LEFT(TRIM(B514),2))),
  DATEVALUE(TRIM(B514)))),
""CHECK"")"),45597.0)</f>
        <v>45597</v>
      </c>
      <c r="R514" s="2" t="str">
        <f t="shared" si="2"/>
        <v>Nov</v>
      </c>
      <c r="S514" s="2" t="str">
        <f t="shared" si="3"/>
        <v>Q4</v>
      </c>
      <c r="T514" s="2">
        <f t="shared" si="4"/>
        <v>30746.2</v>
      </c>
    </row>
    <row r="515">
      <c r="A515" s="7" t="s">
        <v>1154</v>
      </c>
      <c r="B515" s="7" t="s">
        <v>1155</v>
      </c>
      <c r="C515" s="7" t="s">
        <v>34</v>
      </c>
      <c r="D515" s="7" t="s">
        <v>82</v>
      </c>
      <c r="E515" s="7" t="s">
        <v>81</v>
      </c>
      <c r="F515" s="7" t="s">
        <v>290</v>
      </c>
      <c r="G515" s="7">
        <v>23175.55</v>
      </c>
      <c r="H515" s="7" t="s">
        <v>26</v>
      </c>
      <c r="I515" s="7" t="s">
        <v>48</v>
      </c>
      <c r="J515" s="7" t="s">
        <v>126</v>
      </c>
      <c r="K515" s="7" t="s">
        <v>29</v>
      </c>
      <c r="L515" s="7"/>
      <c r="N515" s="2" t="str">
        <f t="shared" si="1"/>
        <v>Engineering</v>
      </c>
      <c r="O515" s="6">
        <f>IFERROR(__xludf.DUMMYFUNCTION("IFERROR(
  IF(LEN(TRIM(B515))=6,
    DATE(2000+VALUE(RIGHT(TRIM(B515),2)),MATCH(LEFT(TRIM(B515),3),{""Jan"",""Feb"",""Mar"",""Apr"",""May"",""Jun"",""Jul"",""Aug"",""Sep"",""Oct"",""Nov"",""Dec""},0),15),
  IF(REGEXMATCH(TRIM(B515),""^\d{2}[/-]\d{2}[/-]\d"&amp;"{4}$""),
    DATE(VALUE(RIGHT(TRIM(B515),4)),VALUE(MID(TRIM(B515),4,2)),VALUE(LEFT(TRIM(B515),2))),
  DATEVALUE(TRIM(B515)))),
""CHECK"")"),45349.0)</f>
        <v>45349</v>
      </c>
      <c r="R515" s="2" t="str">
        <f t="shared" si="2"/>
        <v>Feb</v>
      </c>
      <c r="S515" s="2" t="str">
        <f t="shared" si="3"/>
        <v>Q1</v>
      </c>
      <c r="T515" s="2">
        <f t="shared" si="4"/>
        <v>23175.55</v>
      </c>
    </row>
    <row r="516">
      <c r="A516" s="5" t="s">
        <v>1156</v>
      </c>
      <c r="B516" s="5" t="s">
        <v>1157</v>
      </c>
      <c r="C516" s="5" t="s">
        <v>34</v>
      </c>
      <c r="D516" s="5" t="s">
        <v>31</v>
      </c>
      <c r="E516" s="5" t="s">
        <v>30</v>
      </c>
      <c r="F516" s="5" t="s">
        <v>121</v>
      </c>
      <c r="G516" s="5">
        <v>20736.58</v>
      </c>
      <c r="H516" s="5" t="s">
        <v>26</v>
      </c>
      <c r="I516" s="5" t="s">
        <v>37</v>
      </c>
      <c r="J516" s="5" t="s">
        <v>126</v>
      </c>
      <c r="K516" s="5" t="s">
        <v>29</v>
      </c>
      <c r="L516" s="5"/>
      <c r="N516" s="2" t="str">
        <f t="shared" si="1"/>
        <v>Cloud Infrastructure</v>
      </c>
      <c r="O516" s="6">
        <f>IFERROR(__xludf.DUMMYFUNCTION("IFERROR(
  IF(LEN(TRIM(B516))=6,
    DATE(2000+VALUE(RIGHT(TRIM(B516),2)),MATCH(LEFT(TRIM(B516),3),{""Jan"",""Feb"",""Mar"",""Apr"",""May"",""Jun"",""Jul"",""Aug"",""Sep"",""Oct"",""Nov"",""Dec""},0),15),
  IF(REGEXMATCH(TRIM(B516),""^\d{2}[/-]\d{2}[/-]\d"&amp;"{4}$""),
    DATE(VALUE(RIGHT(TRIM(B516),4)),VALUE(MID(TRIM(B516),4,2)),VALUE(LEFT(TRIM(B516),2))),
  DATEVALUE(TRIM(B516)))),
""CHECK"")"),45339.0)</f>
        <v>45339</v>
      </c>
      <c r="R516" s="2" t="str">
        <f t="shared" si="2"/>
        <v>Feb</v>
      </c>
      <c r="S516" s="2" t="str">
        <f t="shared" si="3"/>
        <v>Q1</v>
      </c>
      <c r="T516" s="2">
        <f t="shared" si="4"/>
        <v>20736.58</v>
      </c>
    </row>
    <row r="517">
      <c r="A517" s="7" t="s">
        <v>1158</v>
      </c>
      <c r="B517" s="7" t="s">
        <v>843</v>
      </c>
      <c r="C517" s="7" t="s">
        <v>22</v>
      </c>
      <c r="D517" s="7" t="s">
        <v>62</v>
      </c>
      <c r="E517" s="7" t="s">
        <v>24</v>
      </c>
      <c r="F517" s="7" t="s">
        <v>335</v>
      </c>
      <c r="G517" s="7">
        <v>32394.1</v>
      </c>
      <c r="H517" s="7" t="s">
        <v>26</v>
      </c>
      <c r="I517" s="7" t="s">
        <v>65</v>
      </c>
      <c r="J517" s="7" t="s">
        <v>49</v>
      </c>
      <c r="K517" s="7" t="s">
        <v>39</v>
      </c>
      <c r="L517" s="7"/>
      <c r="N517" s="2" t="str">
        <f t="shared" si="1"/>
        <v>Sales</v>
      </c>
      <c r="O517" s="6">
        <f>IFERROR(__xludf.DUMMYFUNCTION("IFERROR(
  IF(LEN(TRIM(B517))=6,
    DATE(2000+VALUE(RIGHT(TRIM(B517),2)),MATCH(LEFT(TRIM(B517),3),{""Jan"",""Feb"",""Mar"",""Apr"",""May"",""Jun"",""Jul"",""Aug"",""Sep"",""Oct"",""Nov"",""Dec""},0),15),
  IF(REGEXMATCH(TRIM(B517),""^\d{2}[/-]\d{2}[/-]\d"&amp;"{4}$""),
    DATE(VALUE(RIGHT(TRIM(B517),4)),VALUE(MID(TRIM(B517),4,2)),VALUE(LEFT(TRIM(B517),2))),
  DATEVALUE(TRIM(B517)))),
""CHECK"")"),45571.0)</f>
        <v>45571</v>
      </c>
      <c r="R517" s="2" t="str">
        <f t="shared" si="2"/>
        <v>Oct</v>
      </c>
      <c r="S517" s="2" t="str">
        <f t="shared" si="3"/>
        <v>Q4</v>
      </c>
      <c r="T517" s="2">
        <f t="shared" si="4"/>
        <v>32394.1</v>
      </c>
    </row>
    <row r="518">
      <c r="A518" s="5" t="s">
        <v>1159</v>
      </c>
      <c r="B518" s="5" t="s">
        <v>247</v>
      </c>
      <c r="C518" s="5" t="s">
        <v>34</v>
      </c>
      <c r="D518" s="5" t="s">
        <v>111</v>
      </c>
      <c r="E518" s="5" t="s">
        <v>63</v>
      </c>
      <c r="F518" s="5" t="s">
        <v>545</v>
      </c>
      <c r="G518" s="5">
        <v>44677.13</v>
      </c>
      <c r="H518" s="5" t="s">
        <v>26</v>
      </c>
      <c r="I518" s="5" t="s">
        <v>48</v>
      </c>
      <c r="J518" s="5" t="s">
        <v>66</v>
      </c>
      <c r="K518" s="5" t="s">
        <v>67</v>
      </c>
      <c r="L518" s="5"/>
      <c r="N518" s="2" t="str">
        <f t="shared" si="1"/>
        <v>Sales</v>
      </c>
      <c r="O518" s="6">
        <f>IFERROR(__xludf.DUMMYFUNCTION("IFERROR(
  IF(LEN(TRIM(B518))=6,
    DATE(2000+VALUE(RIGHT(TRIM(B518),2)),MATCH(LEFT(TRIM(B518),3),{""Jan"",""Feb"",""Mar"",""Apr"",""May"",""Jun"",""Jul"",""Aug"",""Sep"",""Oct"",""Nov"",""Dec""},0),15),
  IF(REGEXMATCH(TRIM(B518),""^\d{2}[/-]\d{2}[/-]\d"&amp;"{4}$""),
    DATE(VALUE(RIGHT(TRIM(B518),4)),VALUE(MID(TRIM(B518),4,2)),VALUE(LEFT(TRIM(B518),2))),
  DATEVALUE(TRIM(B518)))),
""CHECK"")"),45397.0)</f>
        <v>45397</v>
      </c>
      <c r="R518" s="2" t="str">
        <f t="shared" si="2"/>
        <v>Apr</v>
      </c>
      <c r="S518" s="2" t="str">
        <f t="shared" si="3"/>
        <v>Q2</v>
      </c>
      <c r="T518" s="2">
        <f t="shared" si="4"/>
        <v>44677.13</v>
      </c>
    </row>
    <row r="519">
      <c r="A519" s="7" t="s">
        <v>1160</v>
      </c>
      <c r="B519" s="7" t="s">
        <v>318</v>
      </c>
      <c r="C519" s="7" t="s">
        <v>34</v>
      </c>
      <c r="D519" s="7" t="s">
        <v>111</v>
      </c>
      <c r="E519" s="7" t="s">
        <v>111</v>
      </c>
      <c r="F519" s="7" t="s">
        <v>602</v>
      </c>
      <c r="G519" s="7">
        <v>23256.83</v>
      </c>
      <c r="H519" s="7" t="s">
        <v>26</v>
      </c>
      <c r="I519" s="7" t="s">
        <v>394</v>
      </c>
      <c r="J519" s="7" t="s">
        <v>44</v>
      </c>
      <c r="K519" s="7" t="s">
        <v>29</v>
      </c>
      <c r="L519" s="7"/>
      <c r="N519" s="2" t="str">
        <f t="shared" si="1"/>
        <v>Sales</v>
      </c>
      <c r="O519" s="6">
        <f>IFERROR(__xludf.DUMMYFUNCTION("IFERROR(
  IF(LEN(TRIM(B519))=6,
    DATE(2000+VALUE(RIGHT(TRIM(B519),2)),MATCH(LEFT(TRIM(B519),3),{""Jan"",""Feb"",""Mar"",""Apr"",""May"",""Jun"",""Jul"",""Aug"",""Sep"",""Oct"",""Nov"",""Dec""},0),15),
  IF(REGEXMATCH(TRIM(B519),""^\d{2}[/-]\d{2}[/-]\d"&amp;"{4}$""),
    DATE(VALUE(RIGHT(TRIM(B519),4)),VALUE(MID(TRIM(B519),4,2)),VALUE(LEFT(TRIM(B519),2))),
  DATEVALUE(TRIM(B519)))),
""CHECK"")"),45476.0)</f>
        <v>45476</v>
      </c>
      <c r="R519" s="2" t="str">
        <f t="shared" si="2"/>
        <v>Jul</v>
      </c>
      <c r="S519" s="2" t="str">
        <f t="shared" si="3"/>
        <v>Q3</v>
      </c>
      <c r="T519" s="2">
        <f t="shared" si="4"/>
        <v>23256.83</v>
      </c>
    </row>
    <row r="520">
      <c r="A520" s="5" t="s">
        <v>1161</v>
      </c>
      <c r="B520" s="5" t="s">
        <v>845</v>
      </c>
      <c r="C520" s="5" t="s">
        <v>22</v>
      </c>
      <c r="D520" s="5" t="s">
        <v>85</v>
      </c>
      <c r="E520" s="5" t="s">
        <v>63</v>
      </c>
      <c r="F520" s="5" t="s">
        <v>272</v>
      </c>
      <c r="G520" s="5">
        <v>18805.7</v>
      </c>
      <c r="H520" s="5" t="s">
        <v>26</v>
      </c>
      <c r="I520" s="5" t="s">
        <v>137</v>
      </c>
      <c r="J520" s="5" t="s">
        <v>44</v>
      </c>
      <c r="K520" s="5" t="s">
        <v>29</v>
      </c>
      <c r="L520" s="5"/>
      <c r="N520" s="2" t="str">
        <f t="shared" si="1"/>
        <v>Sales</v>
      </c>
      <c r="O520" s="6">
        <f>IFERROR(__xludf.DUMMYFUNCTION("IFERROR(
  IF(LEN(TRIM(B520))=6,
    DATE(2000+VALUE(RIGHT(TRIM(B520),2)),MATCH(LEFT(TRIM(B520),3),{""Jan"",""Feb"",""Mar"",""Apr"",""May"",""Jun"",""Jul"",""Aug"",""Sep"",""Oct"",""Nov"",""Dec""},0),15),
  IF(REGEXMATCH(TRIM(B520),""^\d{2}[/-]\d{2}[/-]\d"&amp;"{4}$""),
    DATE(VALUE(RIGHT(TRIM(B520),4)),VALUE(MID(TRIM(B520),4,2)),VALUE(LEFT(TRIM(B520),2))),
  DATEVALUE(TRIM(B520)))),
""CHECK"")"),45374.0)</f>
        <v>45374</v>
      </c>
      <c r="R520" s="2" t="str">
        <f t="shared" si="2"/>
        <v>Mar</v>
      </c>
      <c r="S520" s="2" t="str">
        <f t="shared" si="3"/>
        <v>Q1</v>
      </c>
      <c r="T520" s="2">
        <f t="shared" si="4"/>
        <v>18805.7</v>
      </c>
    </row>
    <row r="521">
      <c r="A521" s="7" t="s">
        <v>1162</v>
      </c>
      <c r="B521" s="7" t="s">
        <v>1163</v>
      </c>
      <c r="C521" s="7" t="s">
        <v>34</v>
      </c>
      <c r="D521" s="7" t="s">
        <v>90</v>
      </c>
      <c r="E521" s="7" t="s">
        <v>114</v>
      </c>
      <c r="F521" s="7" t="s">
        <v>125</v>
      </c>
      <c r="G521" s="7">
        <v>27339.38</v>
      </c>
      <c r="H521" s="7" t="s">
        <v>26</v>
      </c>
      <c r="I521" s="7" t="s">
        <v>57</v>
      </c>
      <c r="J521" s="7" t="s">
        <v>142</v>
      </c>
      <c r="K521" s="7" t="s">
        <v>39</v>
      </c>
      <c r="L521" s="7"/>
      <c r="N521" s="2" t="str">
        <f t="shared" si="1"/>
        <v>G&amp;A</v>
      </c>
      <c r="O521" s="6">
        <f>IFERROR(__xludf.DUMMYFUNCTION("IFERROR(
  IF(LEN(TRIM(B521))=6,
    DATE(2000+VALUE(RIGHT(TRIM(B521),2)),MATCH(LEFT(TRIM(B521),3),{""Jan"",""Feb"",""Mar"",""Apr"",""May"",""Jun"",""Jul"",""Aug"",""Sep"",""Oct"",""Nov"",""Dec""},0),15),
  IF(REGEXMATCH(TRIM(B521),""^\d{2}[/-]\d{2}[/-]\d"&amp;"{4}$""),
    DATE(VALUE(RIGHT(TRIM(B521),4)),VALUE(MID(TRIM(B521),4,2)),VALUE(LEFT(TRIM(B521),2))),
  DATEVALUE(TRIM(B521)))),
""CHECK"")"),45601.0)</f>
        <v>45601</v>
      </c>
      <c r="R521" s="2" t="str">
        <f t="shared" si="2"/>
        <v>Nov</v>
      </c>
      <c r="S521" s="2" t="str">
        <f t="shared" si="3"/>
        <v>Q4</v>
      </c>
      <c r="T521" s="2">
        <f t="shared" si="4"/>
        <v>27339.38</v>
      </c>
    </row>
    <row r="522">
      <c r="B522" s="5" t="s">
        <v>1164</v>
      </c>
      <c r="C522" s="5" t="s">
        <v>34</v>
      </c>
      <c r="D522" s="5" t="s">
        <v>90</v>
      </c>
      <c r="E522" s="5" t="s">
        <v>90</v>
      </c>
      <c r="F522" s="5" t="s">
        <v>158</v>
      </c>
      <c r="G522" s="5">
        <v>8480.1</v>
      </c>
      <c r="H522" s="5" t="s">
        <v>26</v>
      </c>
      <c r="I522" s="5" t="s">
        <v>37</v>
      </c>
      <c r="J522" s="5" t="s">
        <v>73</v>
      </c>
      <c r="K522" s="5" t="s">
        <v>59</v>
      </c>
      <c r="L522" s="5"/>
      <c r="N522" s="2" t="str">
        <f t="shared" si="1"/>
        <v>G&amp;A</v>
      </c>
      <c r="O522" s="6">
        <f>IFERROR(__xludf.DUMMYFUNCTION("IFERROR(
  IF(LEN(TRIM(B522))=6,
    DATE(2000+VALUE(RIGHT(TRIM(B522),2)),MATCH(LEFT(TRIM(B522),3),{""Jan"",""Feb"",""Mar"",""Apr"",""May"",""Jun"",""Jul"",""Aug"",""Sep"",""Oct"",""Nov"",""Dec""},0),15),
  IF(REGEXMATCH(TRIM(B522),""^\d{2}[/-]\d{2}[/-]\d"&amp;"{4}$""),
    DATE(VALUE(RIGHT(TRIM(B522),4)),VALUE(MID(TRIM(B522),4,2)),VALUE(LEFT(TRIM(B522),2))),
  DATEVALUE(TRIM(B522)))),
""CHECK"")"),45546.0)</f>
        <v>45546</v>
      </c>
      <c r="R522" s="2" t="str">
        <f t="shared" si="2"/>
        <v>Sep</v>
      </c>
      <c r="S522" s="2" t="str">
        <f t="shared" si="3"/>
        <v>Q3</v>
      </c>
      <c r="T522" s="2">
        <f t="shared" si="4"/>
        <v>8480.1</v>
      </c>
    </row>
    <row r="523">
      <c r="B523" s="7" t="s">
        <v>1165</v>
      </c>
      <c r="C523" s="7" t="s">
        <v>34</v>
      </c>
      <c r="D523" s="7" t="s">
        <v>51</v>
      </c>
      <c r="E523" s="7" t="s">
        <v>51</v>
      </c>
      <c r="F523" s="7" t="s">
        <v>171</v>
      </c>
      <c r="G523" s="7">
        <v>9049.39</v>
      </c>
      <c r="H523" s="7" t="s">
        <v>26</v>
      </c>
      <c r="I523" s="7" t="s">
        <v>103</v>
      </c>
      <c r="J523" s="7" t="s">
        <v>49</v>
      </c>
      <c r="K523" s="7" t="s">
        <v>39</v>
      </c>
      <c r="L523" s="7"/>
      <c r="N523" s="2" t="str">
        <f t="shared" si="1"/>
        <v>Customer Success</v>
      </c>
      <c r="O523" s="6">
        <f>IFERROR(__xludf.DUMMYFUNCTION("IFERROR(
  IF(LEN(TRIM(B523))=6,
    DATE(2000+VALUE(RIGHT(TRIM(B523),2)),MATCH(LEFT(TRIM(B523),3),{""Jan"",""Feb"",""Mar"",""Apr"",""May"",""Jun"",""Jul"",""Aug"",""Sep"",""Oct"",""Nov"",""Dec""},0),15),
  IF(REGEXMATCH(TRIM(B523),""^\d{2}[/-]\d{2}[/-]\d"&amp;"{4}$""),
    DATE(VALUE(RIGHT(TRIM(B523),4)),VALUE(MID(TRIM(B523),4,2)),VALUE(LEFT(TRIM(B523),2))),
  DATEVALUE(TRIM(B523)))),
""CHECK"")"),45575.0)</f>
        <v>45575</v>
      </c>
      <c r="R523" s="2" t="str">
        <f t="shared" si="2"/>
        <v>Oct</v>
      </c>
      <c r="S523" s="2" t="str">
        <f t="shared" si="3"/>
        <v>Q4</v>
      </c>
      <c r="T523" s="2">
        <f t="shared" si="4"/>
        <v>9049.39</v>
      </c>
    </row>
    <row r="524">
      <c r="O524" s="6"/>
    </row>
    <row r="525">
      <c r="O525" s="6"/>
    </row>
    <row r="526">
      <c r="O526" s="6"/>
    </row>
    <row r="527">
      <c r="O527" s="6"/>
    </row>
    <row r="528">
      <c r="O528" s="6"/>
      <c r="P528" s="2">
        <f>COUNTIF(O2:O521,"CHECK")</f>
        <v>0</v>
      </c>
    </row>
    <row r="529">
      <c r="O529" s="6"/>
    </row>
    <row r="530">
      <c r="O530" s="6"/>
    </row>
    <row r="531">
      <c r="O531" s="6"/>
    </row>
    <row r="532">
      <c r="O532" s="6"/>
    </row>
    <row r="533">
      <c r="O533" s="6"/>
    </row>
    <row r="534">
      <c r="O534" s="6"/>
    </row>
    <row r="535">
      <c r="O535" s="6"/>
    </row>
    <row r="536">
      <c r="O536" s="6"/>
    </row>
    <row r="537">
      <c r="O537" s="6"/>
    </row>
    <row r="538">
      <c r="O538" s="6"/>
    </row>
    <row r="539">
      <c r="O539" s="6"/>
    </row>
    <row r="540">
      <c r="O540" s="6"/>
    </row>
    <row r="541">
      <c r="O541" s="6"/>
    </row>
    <row r="542">
      <c r="O542" s="6"/>
    </row>
    <row r="543">
      <c r="O543" s="6"/>
    </row>
    <row r="544">
      <c r="O544" s="6"/>
    </row>
    <row r="545">
      <c r="O545" s="6"/>
    </row>
    <row r="546">
      <c r="O546" s="6"/>
    </row>
    <row r="547">
      <c r="O547" s="6"/>
    </row>
    <row r="548">
      <c r="O548" s="6"/>
    </row>
    <row r="549">
      <c r="O549" s="6"/>
    </row>
    <row r="550">
      <c r="O550" s="6"/>
    </row>
    <row r="551">
      <c r="O551" s="6"/>
    </row>
    <row r="552">
      <c r="O552" s="6"/>
    </row>
    <row r="553">
      <c r="O553" s="6"/>
    </row>
    <row r="554">
      <c r="O554" s="6"/>
    </row>
    <row r="555">
      <c r="O555" s="6"/>
    </row>
    <row r="556">
      <c r="O556" s="6"/>
    </row>
    <row r="557">
      <c r="O557" s="6"/>
    </row>
    <row r="558">
      <c r="O558" s="6"/>
    </row>
    <row r="559">
      <c r="O559" s="6"/>
    </row>
    <row r="560">
      <c r="O560" s="6"/>
    </row>
    <row r="561">
      <c r="O561" s="6"/>
    </row>
    <row r="562">
      <c r="O562" s="6"/>
    </row>
    <row r="563">
      <c r="O563" s="6"/>
    </row>
    <row r="564">
      <c r="O564" s="6"/>
    </row>
    <row r="565">
      <c r="O565" s="6"/>
    </row>
    <row r="566">
      <c r="O566" s="6"/>
    </row>
    <row r="567">
      <c r="O567" s="6"/>
    </row>
    <row r="568">
      <c r="O568" s="6"/>
    </row>
    <row r="569">
      <c r="O569" s="6"/>
    </row>
    <row r="570">
      <c r="O570" s="6"/>
    </row>
    <row r="571">
      <c r="O571" s="6"/>
    </row>
    <row r="572">
      <c r="O572" s="6"/>
    </row>
    <row r="573">
      <c r="O573" s="6"/>
    </row>
    <row r="574">
      <c r="O574" s="6"/>
    </row>
    <row r="575">
      <c r="O575" s="6"/>
    </row>
    <row r="576">
      <c r="O576" s="6"/>
    </row>
    <row r="577">
      <c r="O577" s="6"/>
    </row>
    <row r="578">
      <c r="O578" s="6"/>
    </row>
    <row r="579">
      <c r="O579" s="6"/>
    </row>
    <row r="580">
      <c r="O580" s="6"/>
    </row>
    <row r="581">
      <c r="O581" s="6"/>
    </row>
    <row r="582">
      <c r="O582" s="6"/>
    </row>
    <row r="583">
      <c r="O583" s="6"/>
    </row>
    <row r="584">
      <c r="O584" s="6"/>
    </row>
    <row r="585">
      <c r="O585" s="6"/>
    </row>
    <row r="586">
      <c r="O586" s="6"/>
    </row>
    <row r="587">
      <c r="O587" s="6"/>
    </row>
    <row r="588">
      <c r="O588" s="6"/>
    </row>
    <row r="589">
      <c r="O589" s="6"/>
    </row>
    <row r="590">
      <c r="O590" s="6"/>
    </row>
    <row r="591">
      <c r="O591" s="6"/>
    </row>
    <row r="592">
      <c r="O592" s="6"/>
    </row>
    <row r="593">
      <c r="O593" s="6"/>
    </row>
    <row r="594">
      <c r="O594" s="6"/>
    </row>
    <row r="595">
      <c r="O595" s="6"/>
    </row>
    <row r="596">
      <c r="O596" s="6"/>
    </row>
    <row r="597">
      <c r="O597" s="6"/>
    </row>
    <row r="598">
      <c r="O598" s="6"/>
    </row>
    <row r="599">
      <c r="O599" s="6"/>
    </row>
    <row r="600">
      <c r="O600" s="6"/>
    </row>
    <row r="601">
      <c r="O601" s="6"/>
    </row>
    <row r="602">
      <c r="O602" s="6"/>
    </row>
    <row r="603">
      <c r="O603" s="6"/>
    </row>
    <row r="604">
      <c r="O604" s="6"/>
    </row>
    <row r="605">
      <c r="O605" s="6"/>
    </row>
    <row r="606">
      <c r="O606" s="6"/>
    </row>
    <row r="607">
      <c r="O607" s="6"/>
    </row>
    <row r="608">
      <c r="O608" s="6"/>
    </row>
    <row r="609">
      <c r="O609" s="6"/>
    </row>
    <row r="610">
      <c r="O610" s="6"/>
    </row>
    <row r="611">
      <c r="O611" s="6"/>
    </row>
    <row r="612">
      <c r="O612" s="6"/>
    </row>
    <row r="613">
      <c r="O613" s="6"/>
    </row>
    <row r="614">
      <c r="O614" s="6"/>
    </row>
    <row r="615">
      <c r="O615" s="6"/>
    </row>
    <row r="616">
      <c r="O616" s="6"/>
    </row>
    <row r="617">
      <c r="O617" s="6"/>
    </row>
    <row r="618">
      <c r="O618" s="6"/>
    </row>
    <row r="619">
      <c r="O619" s="6"/>
    </row>
    <row r="620">
      <c r="O620" s="6"/>
    </row>
    <row r="621">
      <c r="O621" s="6"/>
    </row>
    <row r="622">
      <c r="O622" s="6"/>
    </row>
    <row r="623">
      <c r="O623" s="6"/>
    </row>
    <row r="624">
      <c r="O624" s="6"/>
    </row>
    <row r="625">
      <c r="O625" s="6"/>
    </row>
    <row r="626">
      <c r="O626" s="6"/>
    </row>
    <row r="627">
      <c r="O627" s="6"/>
    </row>
    <row r="628">
      <c r="O628" s="6"/>
    </row>
    <row r="629">
      <c r="O629" s="6"/>
    </row>
    <row r="630">
      <c r="O630" s="6"/>
    </row>
    <row r="631">
      <c r="O631" s="6"/>
    </row>
    <row r="632">
      <c r="O632" s="6"/>
    </row>
    <row r="633">
      <c r="O633" s="6"/>
    </row>
    <row r="634">
      <c r="O634" s="6"/>
    </row>
    <row r="635">
      <c r="O635" s="6"/>
    </row>
    <row r="636">
      <c r="O636" s="6"/>
    </row>
    <row r="637">
      <c r="O637" s="6"/>
    </row>
    <row r="638">
      <c r="O638" s="6"/>
    </row>
    <row r="639">
      <c r="O639" s="6"/>
    </row>
    <row r="640">
      <c r="O640" s="6"/>
    </row>
    <row r="641">
      <c r="O641" s="6"/>
    </row>
    <row r="642">
      <c r="O642" s="6"/>
    </row>
    <row r="643">
      <c r="O643" s="6"/>
    </row>
    <row r="644">
      <c r="O644" s="6"/>
    </row>
    <row r="645">
      <c r="O645" s="6"/>
    </row>
    <row r="646">
      <c r="O646" s="6"/>
    </row>
    <row r="647">
      <c r="O647" s="6"/>
    </row>
    <row r="648">
      <c r="O648" s="6"/>
    </row>
    <row r="649">
      <c r="O649" s="6"/>
    </row>
    <row r="650">
      <c r="O650" s="6"/>
    </row>
    <row r="651">
      <c r="O651" s="6"/>
    </row>
    <row r="652">
      <c r="O652" s="6"/>
    </row>
    <row r="653">
      <c r="O653" s="6"/>
    </row>
    <row r="654">
      <c r="O654" s="6"/>
    </row>
    <row r="655">
      <c r="O655" s="6"/>
    </row>
    <row r="656">
      <c r="O656" s="6"/>
    </row>
    <row r="657">
      <c r="O657" s="6"/>
    </row>
    <row r="658">
      <c r="O658" s="6"/>
    </row>
    <row r="659">
      <c r="O659" s="6"/>
    </row>
    <row r="660">
      <c r="O660" s="6"/>
    </row>
    <row r="661">
      <c r="O661" s="6"/>
    </row>
    <row r="662">
      <c r="O662" s="6"/>
    </row>
    <row r="663">
      <c r="O663" s="6"/>
    </row>
    <row r="664">
      <c r="O664" s="6"/>
    </row>
    <row r="665">
      <c r="O665" s="6"/>
    </row>
    <row r="666">
      <c r="O666" s="6"/>
    </row>
    <row r="667">
      <c r="O667" s="6"/>
    </row>
    <row r="668">
      <c r="O668" s="6"/>
    </row>
    <row r="669">
      <c r="O669" s="6"/>
    </row>
    <row r="670">
      <c r="O670" s="6"/>
    </row>
    <row r="671">
      <c r="O671" s="6"/>
    </row>
    <row r="672">
      <c r="O672" s="6"/>
    </row>
    <row r="673">
      <c r="O673" s="6"/>
    </row>
    <row r="674">
      <c r="O674" s="6"/>
    </row>
    <row r="675">
      <c r="O675" s="6"/>
    </row>
    <row r="676">
      <c r="O676" s="6"/>
    </row>
    <row r="677">
      <c r="O677" s="6"/>
    </row>
    <row r="678">
      <c r="O678" s="6"/>
    </row>
    <row r="679">
      <c r="O679" s="6"/>
    </row>
    <row r="680">
      <c r="O680" s="6"/>
    </row>
    <row r="681">
      <c r="O681" s="6"/>
    </row>
    <row r="682">
      <c r="O682" s="6"/>
    </row>
    <row r="683">
      <c r="O683" s="6"/>
    </row>
    <row r="684">
      <c r="O684" s="6"/>
    </row>
    <row r="685">
      <c r="O685" s="6"/>
    </row>
    <row r="686">
      <c r="O686" s="6"/>
    </row>
    <row r="687">
      <c r="O687" s="6"/>
    </row>
    <row r="688">
      <c r="O688" s="6"/>
    </row>
    <row r="689">
      <c r="O689" s="6"/>
    </row>
    <row r="690">
      <c r="O690" s="6"/>
    </row>
    <row r="691">
      <c r="O691" s="6"/>
    </row>
    <row r="692">
      <c r="O692" s="6"/>
    </row>
    <row r="693">
      <c r="O693" s="6"/>
    </row>
    <row r="694">
      <c r="O694" s="6"/>
    </row>
    <row r="695">
      <c r="O695" s="6"/>
    </row>
    <row r="696">
      <c r="O696" s="6"/>
    </row>
    <row r="697">
      <c r="O697" s="6"/>
    </row>
    <row r="698">
      <c r="O698" s="6"/>
    </row>
    <row r="699">
      <c r="O699" s="6"/>
    </row>
    <row r="700">
      <c r="O700" s="6"/>
    </row>
    <row r="701">
      <c r="O701" s="6"/>
    </row>
    <row r="702">
      <c r="O702" s="6"/>
    </row>
    <row r="703">
      <c r="O703" s="6"/>
    </row>
    <row r="704">
      <c r="O704" s="6"/>
    </row>
    <row r="705">
      <c r="O705" s="6"/>
    </row>
    <row r="706">
      <c r="O706" s="6"/>
    </row>
    <row r="707">
      <c r="O707" s="6"/>
    </row>
    <row r="708">
      <c r="O708" s="6"/>
    </row>
    <row r="709">
      <c r="O709" s="6"/>
    </row>
    <row r="710">
      <c r="O710" s="6"/>
    </row>
    <row r="711">
      <c r="O711" s="6"/>
    </row>
    <row r="712">
      <c r="O712" s="6"/>
    </row>
    <row r="713">
      <c r="O713" s="6"/>
    </row>
    <row r="714">
      <c r="O714" s="6"/>
    </row>
    <row r="715">
      <c r="O715" s="6"/>
    </row>
    <row r="716">
      <c r="O716" s="6"/>
    </row>
    <row r="717">
      <c r="O717" s="6"/>
    </row>
    <row r="718">
      <c r="O718" s="6"/>
    </row>
    <row r="719">
      <c r="O719" s="6"/>
    </row>
    <row r="720">
      <c r="O720" s="6"/>
    </row>
    <row r="721">
      <c r="O721" s="6"/>
    </row>
    <row r="722">
      <c r="O722" s="6"/>
    </row>
    <row r="723">
      <c r="O723" s="6"/>
    </row>
    <row r="724">
      <c r="O724" s="6"/>
    </row>
    <row r="725">
      <c r="O725" s="6"/>
    </row>
    <row r="726">
      <c r="O726" s="6"/>
    </row>
    <row r="727">
      <c r="O727" s="6"/>
    </row>
    <row r="728">
      <c r="O728" s="6"/>
    </row>
    <row r="729">
      <c r="O729" s="6"/>
    </row>
    <row r="730">
      <c r="O730" s="6"/>
    </row>
    <row r="731">
      <c r="O731" s="6"/>
    </row>
    <row r="732">
      <c r="O732" s="6"/>
    </row>
    <row r="733">
      <c r="O733" s="6"/>
    </row>
    <row r="734">
      <c r="O734" s="6"/>
    </row>
    <row r="735">
      <c r="O735" s="6"/>
    </row>
    <row r="736">
      <c r="O736" s="6"/>
    </row>
    <row r="737">
      <c r="O737" s="6"/>
    </row>
    <row r="738">
      <c r="O738" s="6"/>
    </row>
    <row r="739">
      <c r="O739" s="6"/>
    </row>
    <row r="740">
      <c r="O740" s="6"/>
    </row>
    <row r="741">
      <c r="O741" s="6"/>
    </row>
    <row r="742">
      <c r="O742" s="6"/>
    </row>
    <row r="743">
      <c r="O743" s="6"/>
    </row>
    <row r="744">
      <c r="O744" s="6"/>
    </row>
    <row r="745">
      <c r="O745" s="6"/>
    </row>
    <row r="746">
      <c r="O746" s="6"/>
    </row>
    <row r="747">
      <c r="O747" s="6"/>
    </row>
    <row r="748">
      <c r="O748" s="6"/>
    </row>
    <row r="749">
      <c r="O749" s="6"/>
    </row>
    <row r="750">
      <c r="O750" s="6"/>
    </row>
    <row r="751">
      <c r="O751" s="6"/>
    </row>
    <row r="752">
      <c r="O752" s="6"/>
    </row>
    <row r="753">
      <c r="O753" s="6"/>
    </row>
    <row r="754">
      <c r="O754" s="6"/>
    </row>
    <row r="755">
      <c r="O755" s="6"/>
    </row>
    <row r="756">
      <c r="O756" s="6"/>
    </row>
    <row r="757">
      <c r="O757" s="6"/>
    </row>
    <row r="758">
      <c r="O758" s="6"/>
    </row>
    <row r="759">
      <c r="O759" s="6"/>
    </row>
    <row r="760">
      <c r="O760" s="6"/>
    </row>
    <row r="761">
      <c r="O761" s="6"/>
    </row>
    <row r="762">
      <c r="O762" s="6"/>
    </row>
    <row r="763">
      <c r="O763" s="6"/>
    </row>
    <row r="764">
      <c r="O764" s="6"/>
    </row>
    <row r="765">
      <c r="O765" s="6"/>
    </row>
    <row r="766">
      <c r="O766" s="6"/>
    </row>
    <row r="767">
      <c r="O767" s="6"/>
    </row>
    <row r="768">
      <c r="O768" s="6"/>
    </row>
    <row r="769">
      <c r="O769" s="6"/>
    </row>
    <row r="770">
      <c r="O770" s="6"/>
    </row>
    <row r="771">
      <c r="O771" s="6"/>
    </row>
    <row r="772">
      <c r="O772" s="6"/>
    </row>
    <row r="773">
      <c r="O773" s="6"/>
    </row>
    <row r="774">
      <c r="O774" s="6"/>
    </row>
    <row r="775">
      <c r="O775" s="6"/>
    </row>
    <row r="776">
      <c r="O776" s="6"/>
    </row>
    <row r="777">
      <c r="O777" s="6"/>
    </row>
    <row r="778">
      <c r="O778" s="6"/>
    </row>
    <row r="779">
      <c r="O779" s="6"/>
    </row>
    <row r="780">
      <c r="O780" s="6"/>
    </row>
    <row r="781">
      <c r="O781" s="6"/>
    </row>
    <row r="782">
      <c r="O782" s="6"/>
    </row>
    <row r="783">
      <c r="O783" s="6"/>
    </row>
    <row r="784">
      <c r="O784" s="6"/>
    </row>
    <row r="785">
      <c r="O785" s="6"/>
    </row>
    <row r="786">
      <c r="O786" s="6"/>
    </row>
    <row r="787">
      <c r="O787" s="6"/>
    </row>
    <row r="788">
      <c r="O788" s="6"/>
    </row>
    <row r="789">
      <c r="O789" s="6"/>
    </row>
    <row r="790">
      <c r="O790" s="6"/>
    </row>
    <row r="791">
      <c r="O791" s="6"/>
    </row>
    <row r="792">
      <c r="O792" s="6"/>
    </row>
    <row r="793">
      <c r="O793" s="6"/>
    </row>
    <row r="794">
      <c r="O794" s="6"/>
    </row>
    <row r="795">
      <c r="O795" s="6"/>
    </row>
    <row r="796">
      <c r="O796" s="6"/>
    </row>
    <row r="797">
      <c r="O797" s="6"/>
    </row>
    <row r="798">
      <c r="O798" s="6"/>
    </row>
    <row r="799">
      <c r="O799" s="6"/>
    </row>
    <row r="800">
      <c r="O800" s="6"/>
    </row>
    <row r="801">
      <c r="O801" s="6"/>
    </row>
    <row r="802">
      <c r="O802" s="6"/>
    </row>
    <row r="803">
      <c r="O803" s="6"/>
    </row>
    <row r="804">
      <c r="O804" s="6"/>
    </row>
    <row r="805">
      <c r="O805" s="6"/>
    </row>
    <row r="806">
      <c r="O806" s="6"/>
    </row>
    <row r="807">
      <c r="O807" s="6"/>
    </row>
    <row r="808">
      <c r="O808" s="6"/>
    </row>
    <row r="809">
      <c r="O809" s="6"/>
    </row>
    <row r="810">
      <c r="O810" s="6"/>
    </row>
    <row r="811">
      <c r="O811" s="6"/>
    </row>
    <row r="812">
      <c r="O812" s="6"/>
    </row>
    <row r="813">
      <c r="O813" s="6"/>
    </row>
    <row r="814">
      <c r="O814" s="6"/>
    </row>
    <row r="815">
      <c r="O815" s="6"/>
    </row>
    <row r="816">
      <c r="O816" s="6"/>
    </row>
    <row r="817">
      <c r="O817" s="6"/>
    </row>
    <row r="818">
      <c r="O818" s="6"/>
    </row>
    <row r="819">
      <c r="O819" s="6"/>
    </row>
    <row r="820">
      <c r="O820" s="6"/>
    </row>
    <row r="821">
      <c r="O821" s="6"/>
    </row>
    <row r="822">
      <c r="O822" s="6"/>
    </row>
    <row r="823">
      <c r="O823" s="6"/>
    </row>
    <row r="824">
      <c r="O824" s="6"/>
    </row>
    <row r="825">
      <c r="O825" s="6"/>
    </row>
    <row r="826">
      <c r="O826" s="6"/>
    </row>
    <row r="827">
      <c r="O827" s="6"/>
    </row>
    <row r="828">
      <c r="O828" s="6"/>
    </row>
    <row r="829">
      <c r="O829" s="6"/>
    </row>
    <row r="830">
      <c r="O830" s="6"/>
    </row>
    <row r="831">
      <c r="O831" s="6"/>
    </row>
    <row r="832">
      <c r="O832" s="6"/>
    </row>
    <row r="833">
      <c r="O833" s="6"/>
    </row>
    <row r="834">
      <c r="O834" s="6"/>
    </row>
    <row r="835">
      <c r="O835" s="6"/>
    </row>
    <row r="836">
      <c r="O836" s="6"/>
    </row>
    <row r="837">
      <c r="O837" s="6"/>
    </row>
    <row r="838">
      <c r="O838" s="6"/>
    </row>
    <row r="839">
      <c r="O839" s="6"/>
    </row>
    <row r="840">
      <c r="O840" s="6"/>
    </row>
    <row r="841">
      <c r="O841" s="6"/>
    </row>
    <row r="842">
      <c r="O842" s="6"/>
    </row>
    <row r="843">
      <c r="O843" s="6"/>
    </row>
    <row r="844">
      <c r="O844" s="6"/>
    </row>
    <row r="845">
      <c r="O845" s="6"/>
    </row>
    <row r="846">
      <c r="O846" s="6"/>
    </row>
    <row r="847">
      <c r="O847" s="6"/>
    </row>
    <row r="848">
      <c r="O848" s="6"/>
    </row>
    <row r="849">
      <c r="O849" s="6"/>
    </row>
    <row r="850">
      <c r="O850" s="6"/>
    </row>
    <row r="851">
      <c r="O851" s="6"/>
    </row>
    <row r="852">
      <c r="O852" s="6"/>
    </row>
    <row r="853">
      <c r="O853" s="6"/>
    </row>
    <row r="854">
      <c r="O854" s="6"/>
    </row>
    <row r="855">
      <c r="O855" s="6"/>
    </row>
    <row r="856">
      <c r="O856" s="6"/>
    </row>
    <row r="857">
      <c r="O857" s="6"/>
    </row>
    <row r="858">
      <c r="O858" s="6"/>
    </row>
    <row r="859">
      <c r="O859" s="6"/>
    </row>
    <row r="860">
      <c r="O860" s="6"/>
    </row>
    <row r="861">
      <c r="O861" s="6"/>
    </row>
    <row r="862">
      <c r="O862" s="6"/>
    </row>
    <row r="863">
      <c r="O863" s="6"/>
    </row>
    <row r="864">
      <c r="O864" s="6"/>
    </row>
    <row r="865">
      <c r="O865" s="6"/>
    </row>
    <row r="866">
      <c r="O866" s="6"/>
    </row>
    <row r="867">
      <c r="O867" s="6"/>
    </row>
    <row r="868">
      <c r="O868" s="6"/>
    </row>
    <row r="869">
      <c r="O869" s="6"/>
    </row>
    <row r="870">
      <c r="O870" s="6"/>
    </row>
    <row r="871">
      <c r="O871" s="6"/>
    </row>
    <row r="872">
      <c r="O872" s="6"/>
    </row>
    <row r="873">
      <c r="O873" s="6"/>
    </row>
    <row r="874">
      <c r="O874" s="6"/>
    </row>
    <row r="875">
      <c r="O875" s="6"/>
    </row>
    <row r="876">
      <c r="O876" s="6"/>
    </row>
    <row r="877">
      <c r="O877" s="6"/>
    </row>
    <row r="878">
      <c r="O878" s="6"/>
    </row>
    <row r="879">
      <c r="O879" s="6"/>
    </row>
    <row r="880">
      <c r="O880" s="6"/>
    </row>
    <row r="881">
      <c r="O881" s="6"/>
    </row>
    <row r="882">
      <c r="O882" s="6"/>
    </row>
    <row r="883">
      <c r="O883" s="6"/>
    </row>
    <row r="884">
      <c r="O884" s="6"/>
    </row>
    <row r="885">
      <c r="O885" s="6"/>
    </row>
    <row r="886">
      <c r="O886" s="6"/>
    </row>
    <row r="887">
      <c r="O887" s="6"/>
    </row>
    <row r="888">
      <c r="O888" s="6"/>
    </row>
    <row r="889">
      <c r="O889" s="6"/>
    </row>
    <row r="890">
      <c r="O890" s="6"/>
    </row>
    <row r="891">
      <c r="O891" s="6"/>
    </row>
    <row r="892">
      <c r="O892" s="6"/>
    </row>
    <row r="893">
      <c r="O893" s="6"/>
    </row>
    <row r="894">
      <c r="O894" s="6"/>
    </row>
    <row r="895">
      <c r="O895" s="6"/>
    </row>
    <row r="896">
      <c r="O896" s="6"/>
    </row>
    <row r="897">
      <c r="O897" s="6"/>
    </row>
    <row r="898">
      <c r="O898" s="6"/>
    </row>
    <row r="899">
      <c r="O899" s="6"/>
    </row>
    <row r="900">
      <c r="O900" s="6"/>
    </row>
    <row r="901">
      <c r="O901" s="6"/>
    </row>
    <row r="902">
      <c r="O902" s="6"/>
    </row>
    <row r="903">
      <c r="O903" s="6"/>
    </row>
    <row r="904">
      <c r="O904" s="6"/>
    </row>
    <row r="905">
      <c r="O905" s="6"/>
    </row>
    <row r="906">
      <c r="O906" s="6"/>
    </row>
    <row r="907">
      <c r="O907" s="6"/>
    </row>
    <row r="908">
      <c r="O908" s="6"/>
    </row>
    <row r="909">
      <c r="O909" s="6"/>
    </row>
    <row r="910">
      <c r="O910" s="6"/>
    </row>
    <row r="911">
      <c r="O911" s="6"/>
    </row>
    <row r="912">
      <c r="O912" s="6"/>
    </row>
    <row r="913">
      <c r="O913" s="6"/>
    </row>
    <row r="914">
      <c r="O914" s="6"/>
    </row>
    <row r="915">
      <c r="O915" s="6"/>
    </row>
    <row r="916">
      <c r="O916" s="6"/>
    </row>
    <row r="917">
      <c r="O917" s="6"/>
    </row>
    <row r="918">
      <c r="O918" s="6"/>
    </row>
    <row r="919">
      <c r="O919" s="6"/>
    </row>
    <row r="920">
      <c r="O920" s="6"/>
    </row>
    <row r="921">
      <c r="O921" s="6"/>
    </row>
    <row r="922">
      <c r="O922" s="6"/>
    </row>
    <row r="923">
      <c r="O923" s="6"/>
    </row>
    <row r="924">
      <c r="O924" s="6"/>
    </row>
    <row r="925">
      <c r="O925" s="6"/>
    </row>
    <row r="926">
      <c r="O926" s="6"/>
    </row>
    <row r="927">
      <c r="O927" s="6"/>
    </row>
    <row r="928">
      <c r="O928" s="6"/>
    </row>
    <row r="929">
      <c r="O929" s="6"/>
    </row>
    <row r="930">
      <c r="O930" s="6"/>
    </row>
    <row r="931">
      <c r="O931" s="6"/>
    </row>
    <row r="932">
      <c r="O932" s="6"/>
    </row>
    <row r="933">
      <c r="O933" s="6"/>
    </row>
    <row r="934">
      <c r="O934" s="6"/>
    </row>
    <row r="935">
      <c r="O935" s="6"/>
    </row>
    <row r="936">
      <c r="O936" s="6"/>
    </row>
    <row r="937">
      <c r="O937" s="6"/>
    </row>
    <row r="938">
      <c r="O938" s="6"/>
    </row>
    <row r="939">
      <c r="O939" s="6"/>
    </row>
    <row r="940">
      <c r="O940" s="6"/>
    </row>
    <row r="941">
      <c r="O941" s="6"/>
    </row>
    <row r="942">
      <c r="O942" s="6"/>
    </row>
    <row r="943">
      <c r="O943" s="6"/>
    </row>
    <row r="944">
      <c r="O944" s="6"/>
    </row>
    <row r="945">
      <c r="O945" s="6"/>
    </row>
    <row r="946">
      <c r="O946" s="6"/>
    </row>
    <row r="947">
      <c r="O947" s="6"/>
    </row>
    <row r="948">
      <c r="O948" s="6"/>
    </row>
    <row r="949">
      <c r="O949" s="6"/>
    </row>
    <row r="950">
      <c r="O950" s="6"/>
    </row>
    <row r="951">
      <c r="O951" s="6"/>
    </row>
    <row r="952">
      <c r="O952" s="6"/>
    </row>
    <row r="953">
      <c r="O953" s="6"/>
    </row>
    <row r="954">
      <c r="O954" s="6"/>
    </row>
    <row r="955">
      <c r="O955" s="6"/>
    </row>
    <row r="956">
      <c r="O956" s="6"/>
    </row>
    <row r="957">
      <c r="O957" s="6"/>
    </row>
    <row r="958">
      <c r="O958" s="6"/>
    </row>
    <row r="959">
      <c r="O959" s="6"/>
    </row>
    <row r="960">
      <c r="O960" s="6"/>
    </row>
    <row r="961">
      <c r="O961" s="6"/>
    </row>
    <row r="962">
      <c r="O962" s="6"/>
    </row>
    <row r="963">
      <c r="O963" s="6"/>
    </row>
    <row r="964">
      <c r="O964" s="6"/>
    </row>
    <row r="965">
      <c r="O965" s="6"/>
    </row>
    <row r="966">
      <c r="O966" s="6"/>
    </row>
    <row r="967">
      <c r="O967" s="6"/>
    </row>
    <row r="968">
      <c r="O968" s="6"/>
    </row>
    <row r="969">
      <c r="O969" s="6"/>
    </row>
    <row r="970">
      <c r="O970" s="6"/>
    </row>
    <row r="971">
      <c r="O971" s="6"/>
    </row>
    <row r="972">
      <c r="O972" s="6"/>
    </row>
    <row r="973">
      <c r="O973" s="6"/>
    </row>
    <row r="974">
      <c r="O974" s="6"/>
    </row>
    <row r="975">
      <c r="O975" s="6"/>
    </row>
    <row r="976">
      <c r="O976" s="6"/>
    </row>
    <row r="977">
      <c r="O977" s="6"/>
    </row>
    <row r="978">
      <c r="O978" s="6"/>
    </row>
    <row r="979">
      <c r="O979" s="6"/>
    </row>
    <row r="980">
      <c r="O980" s="6"/>
    </row>
    <row r="981">
      <c r="O981" s="6"/>
    </row>
    <row r="982">
      <c r="O982" s="6"/>
    </row>
    <row r="983">
      <c r="O983" s="6"/>
    </row>
    <row r="984">
      <c r="O984" s="6"/>
    </row>
    <row r="985">
      <c r="O985" s="6"/>
    </row>
    <row r="986">
      <c r="O986" s="6"/>
    </row>
    <row r="987">
      <c r="O987" s="6"/>
    </row>
    <row r="988">
      <c r="O988" s="6"/>
    </row>
    <row r="989">
      <c r="O989" s="6"/>
    </row>
    <row r="990">
      <c r="O990" s="6"/>
    </row>
    <row r="991">
      <c r="O991" s="6"/>
    </row>
    <row r="992">
      <c r="O992" s="6"/>
    </row>
    <row r="993">
      <c r="O993" s="6"/>
    </row>
    <row r="994">
      <c r="O994" s="6"/>
    </row>
    <row r="995">
      <c r="O995" s="6"/>
    </row>
    <row r="996">
      <c r="O996" s="6"/>
    </row>
    <row r="997">
      <c r="O997" s="6"/>
    </row>
    <row r="998">
      <c r="O998" s="6"/>
    </row>
    <row r="999">
      <c r="O999" s="6"/>
    </row>
    <row r="1000">
      <c r="O1000" s="6"/>
    </row>
  </sheetData>
  <autoFilter ref="$E$1:$E$1000"/>
  <customSheetViews>
    <customSheetView guid="{10040EAD-E958-458F-A85C-A4A922CFBAD0}" filter="1" showAutoFilter="1">
      <autoFilter ref="$O$1:$O$523"/>
    </customSheetView>
    <customSheetView guid="{CE5C8537-0F25-429F-B892-C1441F3080FF}" filter="1" showAutoFilter="1">
      <autoFilter ref="$B$1:$B$523"/>
    </customSheetView>
    <customSheetView guid="{8FC3A10A-A481-47F8-A9D9-63FCCEFBAEA3}" filter="1" showAutoFilter="1">
      <autoFilter ref="$N$1:$N$522"/>
    </customSheetView>
  </customSheetView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</cols>
  <sheetData>
    <row r="1"/>
    <row r="2"/>
    <row r="3"/>
    <row r="4"/>
    <row r="5"/>
    <row r="6"/>
    <row r="7"/>
    <row r="8"/>
    <row r="9">
      <c r="B9" s="12"/>
    </row>
    <row r="10">
      <c r="B10" s="12"/>
    </row>
    <row r="11">
      <c r="B11" s="12"/>
    </row>
    <row r="12">
      <c r="B12" s="12"/>
    </row>
    <row r="13">
      <c r="B13" s="12"/>
    </row>
    <row r="14">
      <c r="B14" s="12"/>
    </row>
    <row r="15">
      <c r="B15" s="12"/>
    </row>
    <row r="16">
      <c r="B16" s="12"/>
    </row>
    <row r="17">
      <c r="B17" s="12"/>
    </row>
    <row r="18">
      <c r="B18" s="12"/>
    </row>
    <row r="19">
      <c r="B19" s="12"/>
    </row>
    <row r="20">
      <c r="B20" s="12"/>
    </row>
    <row r="21">
      <c r="B21" s="12"/>
    </row>
    <row r="22">
      <c r="B22" s="12"/>
    </row>
    <row r="23">
      <c r="B23" s="12"/>
    </row>
    <row r="24">
      <c r="B24" s="12"/>
    </row>
    <row r="25">
      <c r="B25" s="12"/>
    </row>
    <row r="26">
      <c r="B26" s="12"/>
    </row>
    <row r="27">
      <c r="B27" s="12"/>
    </row>
    <row r="28">
      <c r="B28" s="12"/>
    </row>
    <row r="29">
      <c r="B29" s="12"/>
    </row>
    <row r="30">
      <c r="B30" s="12"/>
    </row>
    <row r="31">
      <c r="B31" s="12"/>
    </row>
    <row r="32">
      <c r="B32" s="12"/>
    </row>
    <row r="33">
      <c r="B33" s="12"/>
    </row>
    <row r="34">
      <c r="B34" s="12"/>
    </row>
    <row r="35">
      <c r="B35" s="12"/>
    </row>
    <row r="36">
      <c r="B36" s="12"/>
    </row>
    <row r="37">
      <c r="B37" s="12"/>
    </row>
    <row r="38">
      <c r="B38" s="12"/>
    </row>
    <row r="39">
      <c r="B39" s="12"/>
    </row>
    <row r="40">
      <c r="B40" s="12"/>
    </row>
    <row r="41">
      <c r="B41" s="12"/>
    </row>
    <row r="42">
      <c r="B42" s="12"/>
    </row>
    <row r="43">
      <c r="B43" s="12"/>
    </row>
    <row r="44">
      <c r="B44" s="12"/>
    </row>
    <row r="45">
      <c r="B45" s="12"/>
    </row>
    <row r="46">
      <c r="B46" s="12"/>
    </row>
    <row r="47">
      <c r="B47" s="12"/>
    </row>
    <row r="48">
      <c r="B48" s="12"/>
    </row>
    <row r="49">
      <c r="B49" s="12"/>
    </row>
    <row r="50">
      <c r="B50" s="12"/>
    </row>
    <row r="51">
      <c r="B51" s="12"/>
    </row>
    <row r="52">
      <c r="B52" s="12"/>
    </row>
    <row r="53">
      <c r="B53" s="12"/>
    </row>
    <row r="54">
      <c r="B54" s="12"/>
    </row>
    <row r="55">
      <c r="B55" s="12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5"/>
    <col customWidth="1" min="2" max="2" width="19.5"/>
    <col customWidth="1" min="3" max="3" width="63.0"/>
    <col customWidth="1" min="5" max="5" width="47.75"/>
  </cols>
  <sheetData>
    <row r="1">
      <c r="A1" s="3" t="s">
        <v>1168</v>
      </c>
    </row>
    <row r="2">
      <c r="A2" s="3" t="s">
        <v>1169</v>
      </c>
    </row>
    <row r="4">
      <c r="A4" s="3" t="s">
        <v>1170</v>
      </c>
    </row>
    <row r="5">
      <c r="A5" s="3" t="s">
        <v>3</v>
      </c>
      <c r="B5" s="3" t="s">
        <v>1171</v>
      </c>
      <c r="C5" s="3" t="s">
        <v>11</v>
      </c>
    </row>
    <row r="6">
      <c r="A6" s="3" t="s">
        <v>23</v>
      </c>
      <c r="B6" s="13">
        <f>SUMIFS(Cleaned_sheet!$T:$T,Cleaned_sheet!$C:$C,"Revenue",Cleaned_sheet!$D:$D,"Subscription")</f>
        <v>11155691.26</v>
      </c>
      <c r="C6" s="3" t="s">
        <v>1172</v>
      </c>
    </row>
    <row r="7">
      <c r="A7" s="3" t="s">
        <v>85</v>
      </c>
      <c r="B7" s="13">
        <f>SUMIFS(Cleaned_sheet!$T:$T,Cleaned_sheet!$C:$C,"Revenue",Cleaned_sheet!$D:$D,"Professional Services")</f>
        <v>1569600</v>
      </c>
      <c r="C7" s="3" t="s">
        <v>1173</v>
      </c>
    </row>
    <row r="8">
      <c r="A8" s="3" t="s">
        <v>62</v>
      </c>
      <c r="B8" s="13">
        <f>SUMIFS(Cleaned_sheet!$T:$T,Cleaned_sheet!$C:$C,"Revenue",Cleaned_sheet!$D:$D,"Licensing")</f>
        <v>647919.31</v>
      </c>
      <c r="C8" s="3" t="s">
        <v>1174</v>
      </c>
    </row>
    <row r="9">
      <c r="A9" s="3" t="s">
        <v>489</v>
      </c>
      <c r="B9" s="13">
        <f>SUMIFS(Cleaned_sheet!$T:$T,Cleaned_sheet!$C:$C,"Contra-Revenue")</f>
        <v>-13442.93</v>
      </c>
      <c r="C9" s="3" t="s">
        <v>1175</v>
      </c>
    </row>
    <row r="10">
      <c r="A10" s="3" t="s">
        <v>1176</v>
      </c>
      <c r="B10" s="13">
        <f>SUMIFS(Cleaned_sheet!$T:$T,Cleaned_sheet!$C:$C,"Revenue")+SUMIFS(Cleaned_sheet!$T:$T,Cleaned_sheet!$C:$C,"Contra-Revenue")</f>
        <v>13359767.64</v>
      </c>
      <c r="C10" s="3" t="s">
        <v>1177</v>
      </c>
    </row>
    <row r="12">
      <c r="A12" s="3" t="s">
        <v>1178</v>
      </c>
    </row>
    <row r="13">
      <c r="A13" s="3" t="s">
        <v>4</v>
      </c>
      <c r="B13" s="3" t="s">
        <v>1171</v>
      </c>
      <c r="C13" s="3" t="s">
        <v>11</v>
      </c>
    </row>
    <row r="14">
      <c r="A14" s="3" t="s">
        <v>54</v>
      </c>
      <c r="B14" s="13">
        <f>SUMIFS(Cleaned_sheet!$T:$T,Cleaned_sheet!$C:$C,"Expense",Cleaned_sheet!$N:$N,"Marketing")</f>
        <v>2298600</v>
      </c>
      <c r="C14" s="3" t="s">
        <v>1179</v>
      </c>
    </row>
    <row r="15">
      <c r="A15" s="3" t="s">
        <v>82</v>
      </c>
      <c r="B15" s="13">
        <f>SUMIFS(Cleaned_sheet!$T:$T,Cleaned_sheet!$C:$C,"Expense",Cleaned_sheet!$N:$N,"Engineering")</f>
        <v>1562600</v>
      </c>
      <c r="C15" s="3" t="s">
        <v>1180</v>
      </c>
    </row>
    <row r="16">
      <c r="A16" s="3" t="s">
        <v>31</v>
      </c>
      <c r="B16" s="13">
        <f>SUMIFS(Cleaned_sheet!$T:$T,Cleaned_sheet!$C:$C,"Expense",Cleaned_sheet!$N:$N,"Cloud infrastructure")</f>
        <v>1417863.652</v>
      </c>
      <c r="C16" s="3" t="s">
        <v>1181</v>
      </c>
    </row>
    <row r="17">
      <c r="A17" s="3" t="s">
        <v>111</v>
      </c>
      <c r="B17" s="13">
        <f>SUMIFS(Cleaned_sheet!$T:$T,Cleaned_sheet!$C:$C,"Expense",Cleaned_sheet!$N:$N,"Sales")</f>
        <v>1168718.41</v>
      </c>
      <c r="C17" s="3" t="s">
        <v>1182</v>
      </c>
    </row>
    <row r="18">
      <c r="A18" s="3" t="s">
        <v>51</v>
      </c>
      <c r="B18" s="13">
        <f>SUMIFS(Cleaned_sheet!$T:$T,Cleaned_sheet!$C:$C,"Expense",Cleaned_sheet!$N:$N,"Customer Success")</f>
        <v>907500</v>
      </c>
      <c r="C18" s="3" t="s">
        <v>1183</v>
      </c>
    </row>
    <row r="19">
      <c r="A19" s="3" t="s">
        <v>90</v>
      </c>
      <c r="B19" s="13">
        <f>SUMIFS(Cleaned_sheet!$T:$T,Cleaned_sheet!$C:$C,"Expense",Cleaned_sheet!$N:$N,"G&amp;A")</f>
        <v>729721.97</v>
      </c>
      <c r="C19" s="3" t="s">
        <v>1184</v>
      </c>
    </row>
    <row r="20">
      <c r="A20" s="3" t="s">
        <v>1185</v>
      </c>
      <c r="B20" s="13">
        <f>SUM(B14:B19)</f>
        <v>8085004.032</v>
      </c>
      <c r="C20" s="3" t="s">
        <v>1186</v>
      </c>
    </row>
    <row r="22">
      <c r="A22" s="3" t="s">
        <v>1187</v>
      </c>
      <c r="B22" s="3" t="s">
        <v>1171</v>
      </c>
    </row>
    <row r="23">
      <c r="A23" s="3" t="s">
        <v>1188</v>
      </c>
      <c r="B23" s="13">
        <f>B10</f>
        <v>13359767.64</v>
      </c>
    </row>
    <row r="24">
      <c r="A24" s="3" t="s">
        <v>1189</v>
      </c>
      <c r="B24" s="13">
        <f>B20</f>
        <v>8085004.032</v>
      </c>
    </row>
    <row r="25">
      <c r="A25" s="3" t="s">
        <v>1190</v>
      </c>
      <c r="B25" s="13">
        <f>B23-B24</f>
        <v>5274763.608</v>
      </c>
    </row>
    <row r="27">
      <c r="A27" s="3" t="s">
        <v>1191</v>
      </c>
    </row>
    <row r="28">
      <c r="A28" s="3" t="s">
        <v>10</v>
      </c>
      <c r="B28" s="3" t="s">
        <v>1192</v>
      </c>
      <c r="C28" s="3" t="s">
        <v>1193</v>
      </c>
      <c r="D28" s="3" t="s">
        <v>1194</v>
      </c>
      <c r="E28" s="3" t="s">
        <v>11</v>
      </c>
    </row>
    <row r="29">
      <c r="A29" s="3" t="s">
        <v>29</v>
      </c>
      <c r="B29" s="13">
        <f>SUMIFS(Cleaned_sheet!$T:$T,Cleaned_sheet!$C:$C,"Revenue",Cleaned_sheet!$S:$S,"Q1")</f>
        <v>2860278.11</v>
      </c>
      <c r="C29" s="13">
        <f>SUMIFS(Cleaned_sheet!$T:$T,Cleaned_sheet!$C:$C,"Expense",Cleaned_sheet!$S:$S,"Q1")</f>
        <v>1947438.11</v>
      </c>
      <c r="D29" s="13">
        <f t="shared" ref="D29:D33" si="1">B29-C29</f>
        <v>912840</v>
      </c>
      <c r="E29" s="3" t="s">
        <v>1195</v>
      </c>
    </row>
    <row r="30">
      <c r="A30" s="3" t="s">
        <v>67</v>
      </c>
      <c r="B30" s="13">
        <f>SUMIFS(Cleaned_sheet!$T:$T,Cleaned_sheet!$C:$C,"Revenue",Cleaned_sheet!$S:$S,"Q2")</f>
        <v>3107888.82</v>
      </c>
      <c r="C30" s="13">
        <f>SUMIFS(Cleaned_sheet!$T:$T,Cleaned_sheet!$C:$C,"Expense",Cleaned_sheet!$S:$S,"Q2")</f>
        <v>2320000.06</v>
      </c>
      <c r="D30" s="13">
        <f t="shared" si="1"/>
        <v>787888.76</v>
      </c>
      <c r="E30" s="3" t="s">
        <v>1196</v>
      </c>
    </row>
    <row r="31">
      <c r="A31" s="3" t="s">
        <v>59</v>
      </c>
      <c r="B31" s="13">
        <f>SUMIFS(Cleaned_sheet!$T:$T,Cleaned_sheet!$C:$C,"Revenue",Cleaned_sheet!$S:$S,"Q3")</f>
        <v>3290358.98</v>
      </c>
      <c r="C31" s="13">
        <f>SUMIFS(Cleaned_sheet!$T:$T,Cleaned_sheet!$C:$C,"Expense",Cleaned_sheet!$S:$S,"Q3")</f>
        <v>2093850.362</v>
      </c>
      <c r="D31" s="13">
        <f t="shared" si="1"/>
        <v>1196508.618</v>
      </c>
      <c r="E31" s="3" t="s">
        <v>1197</v>
      </c>
    </row>
    <row r="32">
      <c r="A32" s="3" t="s">
        <v>39</v>
      </c>
      <c r="B32" s="13">
        <f>SUMIFS(Cleaned_sheet!$T:$T,Cleaned_sheet!$C:$C,"Revenue",Cleaned_sheet!$S:$S,"Q4")</f>
        <v>4114684.66</v>
      </c>
      <c r="C32" s="13">
        <f>SUMIFS(Cleaned_sheet!$T:$T,Cleaned_sheet!$C:$C,"Expense",Cleaned_sheet!$S:$S,"Q4")</f>
        <v>1723715.5</v>
      </c>
      <c r="D32" s="13">
        <f t="shared" si="1"/>
        <v>2390969.16</v>
      </c>
      <c r="E32" s="3" t="s">
        <v>1198</v>
      </c>
    </row>
    <row r="33">
      <c r="A33" s="3" t="s">
        <v>1199</v>
      </c>
      <c r="B33" s="13">
        <f t="shared" ref="B33:C33" si="2">SUM(B29:B32)</f>
        <v>13373210.57</v>
      </c>
      <c r="C33" s="13">
        <f t="shared" si="2"/>
        <v>8085004.032</v>
      </c>
      <c r="D33" s="13">
        <f t="shared" si="1"/>
        <v>5288206.538</v>
      </c>
      <c r="E33" s="3" t="s">
        <v>1200</v>
      </c>
    </row>
    <row r="35">
      <c r="A35" s="3" t="s">
        <v>1201</v>
      </c>
    </row>
    <row r="36">
      <c r="A36" s="3" t="s">
        <v>10</v>
      </c>
      <c r="B36" s="3" t="s">
        <v>1202</v>
      </c>
      <c r="C36" s="3" t="s">
        <v>11</v>
      </c>
    </row>
    <row r="37">
      <c r="A37" s="3" t="s">
        <v>29</v>
      </c>
      <c r="B37" s="13">
        <f>SUMIFS(Cleaned_sheet!$T:$T,Cleaned_sheet!$C:$C,"Expense",Cleaned_sheet!$N:$N,"Marketing",Cleaned_sheet!$S:$S,"Q1")</f>
        <v>661013.88</v>
      </c>
      <c r="C37" s="3" t="s">
        <v>1203</v>
      </c>
    </row>
    <row r="38">
      <c r="A38" s="3" t="s">
        <v>67</v>
      </c>
      <c r="B38" s="13">
        <f>SUMIFS(Cleaned_sheet!$T:$T,Cleaned_sheet!$C:$C,"Expense",Cleaned_sheet!$N:$N,"Marketing",Cleaned_sheet!$S:$S,"Q2")</f>
        <v>627488.46</v>
      </c>
      <c r="C38" s="3" t="s">
        <v>1204</v>
      </c>
    </row>
    <row r="39">
      <c r="A39" s="3" t="s">
        <v>59</v>
      </c>
      <c r="B39" s="13">
        <f>SUMIFS(Cleaned_sheet!$T:$T,Cleaned_sheet!$C:$C,"Expense",Cleaned_sheet!$N:$N,"Marketing",Cleaned_sheet!$S:$S,"Q3")</f>
        <v>630079.71</v>
      </c>
      <c r="C39" s="3" t="s">
        <v>1205</v>
      </c>
    </row>
    <row r="40">
      <c r="A40" s="3" t="s">
        <v>39</v>
      </c>
      <c r="B40" s="13">
        <f>SUMIFS(Cleaned_sheet!$T:$T,Cleaned_sheet!$C:$C,"Expense",Cleaned_sheet!$N:$N,"Marketing",Cleaned_sheet!$S:$S,"Q4")</f>
        <v>380017.95</v>
      </c>
      <c r="C40" s="3" t="s">
        <v>1206</v>
      </c>
    </row>
    <row r="42">
      <c r="A42" s="3" t="s">
        <v>1207</v>
      </c>
      <c r="B42" s="13">
        <f>B37+B38</f>
        <v>1288502.34</v>
      </c>
    </row>
    <row r="43">
      <c r="A43" s="3" t="s">
        <v>1208</v>
      </c>
      <c r="B43" s="13">
        <f>B39+B40</f>
        <v>1010097.66</v>
      </c>
    </row>
    <row r="44">
      <c r="A44" s="3" t="s">
        <v>1209</v>
      </c>
      <c r="B44" s="13">
        <f>B42-B43</f>
        <v>278404.68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5" max="5" width="17.75"/>
  </cols>
  <sheetData>
    <row r="1">
      <c r="A1" s="3" t="s">
        <v>1210</v>
      </c>
      <c r="B1" s="3" t="s">
        <v>1211</v>
      </c>
      <c r="C1" s="3" t="s">
        <v>2</v>
      </c>
      <c r="D1" s="3" t="s">
        <v>3</v>
      </c>
      <c r="E1" s="3" t="s">
        <v>1212</v>
      </c>
      <c r="F1" s="3" t="s">
        <v>1213</v>
      </c>
      <c r="G1" s="3" t="s">
        <v>14</v>
      </c>
      <c r="H1" s="3" t="s">
        <v>17</v>
      </c>
      <c r="I1" s="3" t="s">
        <v>18</v>
      </c>
      <c r="J1" s="3" t="s">
        <v>1214</v>
      </c>
    </row>
    <row r="2">
      <c r="A2" s="2" t="str">
        <f t="array" ref="A2:J521">{Cleaned_sheet!A2:A521,Cleaned_sheet!B2:B521,Cleaned_sheet!C2:C521,Cleaned_sheet!D2:D521,Cleaned_sheet!E2:E521,Cleaned_sheet!N2:N521,Cleaned_sheet!O2:O521,Cleaned_sheet!R2:R521,Cleaned_sheet!S2:S521,Cleaned_sheet!T2:T521}</f>
        <v>TXN-1003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111</v>
      </c>
      <c r="G2" s="6">
        <v>45300.0</v>
      </c>
      <c r="H2" s="2" t="s">
        <v>28</v>
      </c>
      <c r="I2" s="2" t="s">
        <v>29</v>
      </c>
      <c r="J2" s="2">
        <v>68037.03</v>
      </c>
    </row>
    <row r="3">
      <c r="A3" s="2" t="s">
        <v>32</v>
      </c>
      <c r="B3" s="2" t="s">
        <v>33</v>
      </c>
      <c r="C3" s="2" t="s">
        <v>34</v>
      </c>
      <c r="D3" s="2" t="s">
        <v>31</v>
      </c>
      <c r="E3" s="2" t="s">
        <v>35</v>
      </c>
      <c r="F3" s="2" t="s">
        <v>31</v>
      </c>
      <c r="G3" s="6">
        <v>45651.0</v>
      </c>
      <c r="H3" s="2" t="s">
        <v>38</v>
      </c>
      <c r="I3" s="2" t="s">
        <v>39</v>
      </c>
      <c r="J3" s="2">
        <v>39375.28</v>
      </c>
    </row>
    <row r="4">
      <c r="A4" s="2" t="s">
        <v>40</v>
      </c>
      <c r="B4" s="2" t="s">
        <v>41</v>
      </c>
      <c r="C4" s="2" t="s">
        <v>22</v>
      </c>
      <c r="D4" s="2" t="s">
        <v>23</v>
      </c>
      <c r="E4" s="2" t="s">
        <v>24</v>
      </c>
      <c r="F4" s="2" t="s">
        <v>111</v>
      </c>
      <c r="G4" s="6">
        <v>45872.0</v>
      </c>
      <c r="H4" s="2" t="s">
        <v>108</v>
      </c>
      <c r="I4" s="2" t="s">
        <v>59</v>
      </c>
      <c r="J4" s="2">
        <v>251866.75</v>
      </c>
    </row>
    <row r="5">
      <c r="A5" s="2" t="s">
        <v>45</v>
      </c>
      <c r="B5" s="2" t="s">
        <v>46</v>
      </c>
      <c r="C5" s="2" t="s">
        <v>34</v>
      </c>
      <c r="D5" s="2" t="s">
        <v>31</v>
      </c>
      <c r="E5" s="2" t="s">
        <v>30</v>
      </c>
      <c r="F5" s="2" t="s">
        <v>31</v>
      </c>
      <c r="G5" s="6">
        <v>45587.0</v>
      </c>
      <c r="H5" s="2" t="s">
        <v>49</v>
      </c>
      <c r="I5" s="2" t="s">
        <v>39</v>
      </c>
      <c r="J5" s="2">
        <v>22219.83</v>
      </c>
    </row>
    <row r="6">
      <c r="A6" s="2" t="s">
        <v>52</v>
      </c>
      <c r="B6" s="2" t="s">
        <v>53</v>
      </c>
      <c r="C6" s="2" t="s">
        <v>34</v>
      </c>
      <c r="D6" s="2" t="s">
        <v>54</v>
      </c>
      <c r="E6" s="2" t="s">
        <v>55</v>
      </c>
      <c r="F6" s="2" t="s">
        <v>54</v>
      </c>
      <c r="G6" s="6">
        <v>45476.0</v>
      </c>
      <c r="H6" s="2" t="s">
        <v>58</v>
      </c>
      <c r="I6" s="2" t="s">
        <v>59</v>
      </c>
      <c r="J6" s="2">
        <v>54150.77</v>
      </c>
    </row>
    <row r="7">
      <c r="A7" s="2" t="s">
        <v>60</v>
      </c>
      <c r="B7" s="2" t="s">
        <v>61</v>
      </c>
      <c r="C7" s="2" t="s">
        <v>22</v>
      </c>
      <c r="D7" s="2" t="s">
        <v>62</v>
      </c>
      <c r="E7" s="2" t="s">
        <v>63</v>
      </c>
      <c r="F7" s="2" t="s">
        <v>111</v>
      </c>
      <c r="G7" s="6">
        <v>45396.0</v>
      </c>
      <c r="H7" s="2" t="s">
        <v>66</v>
      </c>
      <c r="I7" s="2" t="s">
        <v>67</v>
      </c>
      <c r="J7" s="2">
        <v>6708.47</v>
      </c>
    </row>
    <row r="8">
      <c r="A8" s="2" t="s">
        <v>69</v>
      </c>
      <c r="B8" s="2" t="s">
        <v>70</v>
      </c>
      <c r="C8" s="2" t="s">
        <v>22</v>
      </c>
      <c r="D8" s="2" t="s">
        <v>23</v>
      </c>
      <c r="E8" s="2" t="s">
        <v>63</v>
      </c>
      <c r="F8" s="2" t="s">
        <v>111</v>
      </c>
      <c r="G8" s="6">
        <v>45550.0</v>
      </c>
      <c r="H8" s="2" t="s">
        <v>73</v>
      </c>
      <c r="I8" s="2" t="s">
        <v>59</v>
      </c>
      <c r="J8" s="2">
        <v>149903.37</v>
      </c>
    </row>
    <row r="9">
      <c r="A9" s="2" t="s">
        <v>75</v>
      </c>
      <c r="B9" s="2" t="s">
        <v>76</v>
      </c>
      <c r="C9" s="2" t="s">
        <v>34</v>
      </c>
      <c r="D9" s="2" t="s">
        <v>31</v>
      </c>
      <c r="E9" s="2" t="s">
        <v>77</v>
      </c>
      <c r="F9" s="2" t="s">
        <v>31</v>
      </c>
      <c r="G9" s="6">
        <v>45907.0</v>
      </c>
      <c r="H9" s="2" t="s">
        <v>73</v>
      </c>
      <c r="I9" s="2" t="s">
        <v>59</v>
      </c>
      <c r="J9" s="2">
        <v>12717.6403</v>
      </c>
    </row>
    <row r="10">
      <c r="A10" s="2" t="s">
        <v>83</v>
      </c>
      <c r="B10" s="2" t="s">
        <v>84</v>
      </c>
      <c r="C10" s="2" t="s">
        <v>22</v>
      </c>
      <c r="D10" s="2" t="s">
        <v>85</v>
      </c>
      <c r="E10" s="2" t="s">
        <v>24</v>
      </c>
      <c r="F10" s="2" t="s">
        <v>111</v>
      </c>
      <c r="G10" s="6">
        <v>45422.0</v>
      </c>
      <c r="H10" s="2" t="s">
        <v>87</v>
      </c>
      <c r="I10" s="2" t="s">
        <v>67</v>
      </c>
      <c r="J10" s="2">
        <v>21411.91</v>
      </c>
    </row>
    <row r="11">
      <c r="A11" s="2" t="s">
        <v>88</v>
      </c>
      <c r="B11" s="2" t="s">
        <v>89</v>
      </c>
      <c r="C11" s="2" t="s">
        <v>34</v>
      </c>
      <c r="D11" s="2" t="s">
        <v>90</v>
      </c>
      <c r="E11" s="2" t="s">
        <v>91</v>
      </c>
      <c r="F11" s="2" t="s">
        <v>90</v>
      </c>
      <c r="G11" s="6">
        <v>45550.0</v>
      </c>
      <c r="H11" s="2" t="s">
        <v>73</v>
      </c>
      <c r="I11" s="2" t="s">
        <v>59</v>
      </c>
      <c r="J11" s="2">
        <v>9918.62</v>
      </c>
    </row>
    <row r="12">
      <c r="A12" s="2" t="s">
        <v>95</v>
      </c>
      <c r="B12" s="2" t="s">
        <v>96</v>
      </c>
      <c r="C12" s="2" t="s">
        <v>22</v>
      </c>
      <c r="D12" s="2" t="s">
        <v>62</v>
      </c>
      <c r="E12" s="2" t="s">
        <v>97</v>
      </c>
      <c r="F12" s="2" t="s">
        <v>111</v>
      </c>
      <c r="G12" s="6">
        <v>45388.0</v>
      </c>
      <c r="H12" s="2" t="s">
        <v>66</v>
      </c>
      <c r="I12" s="2" t="s">
        <v>67</v>
      </c>
      <c r="J12" s="2">
        <v>6750.78</v>
      </c>
    </row>
    <row r="13">
      <c r="A13" s="2" t="s">
        <v>100</v>
      </c>
      <c r="B13" s="2" t="s">
        <v>101</v>
      </c>
      <c r="C13" s="2" t="s">
        <v>34</v>
      </c>
      <c r="D13" s="2" t="s">
        <v>31</v>
      </c>
      <c r="E13" s="2" t="s">
        <v>77</v>
      </c>
      <c r="F13" s="2" t="s">
        <v>31</v>
      </c>
      <c r="G13" s="6">
        <v>45366.0</v>
      </c>
      <c r="H13" s="2" t="s">
        <v>44</v>
      </c>
      <c r="I13" s="2" t="s">
        <v>29</v>
      </c>
      <c r="J13" s="2">
        <v>16812.38</v>
      </c>
    </row>
    <row r="14">
      <c r="A14" s="2" t="s">
        <v>105</v>
      </c>
      <c r="B14" s="2" t="s">
        <v>106</v>
      </c>
      <c r="C14" s="2" t="s">
        <v>34</v>
      </c>
      <c r="D14" s="2" t="s">
        <v>82</v>
      </c>
      <c r="E14" s="2" t="s">
        <v>81</v>
      </c>
      <c r="F14" s="2" t="s">
        <v>82</v>
      </c>
      <c r="G14" s="6">
        <v>45519.0</v>
      </c>
      <c r="H14" s="2" t="s">
        <v>108</v>
      </c>
      <c r="I14" s="2" t="s">
        <v>59</v>
      </c>
      <c r="J14" s="2">
        <v>21612.23</v>
      </c>
    </row>
    <row r="15">
      <c r="A15" s="2" t="s">
        <v>109</v>
      </c>
      <c r="B15" s="2" t="s">
        <v>110</v>
      </c>
      <c r="C15" s="2" t="s">
        <v>34</v>
      </c>
      <c r="D15" s="2" t="s">
        <v>111</v>
      </c>
      <c r="E15" s="2" t="s">
        <v>111</v>
      </c>
      <c r="F15" s="2" t="s">
        <v>111</v>
      </c>
      <c r="G15" s="6">
        <v>45471.0</v>
      </c>
      <c r="H15" s="2" t="s">
        <v>113</v>
      </c>
      <c r="I15" s="2" t="s">
        <v>67</v>
      </c>
      <c r="J15" s="2">
        <v>10129.21</v>
      </c>
    </row>
    <row r="16">
      <c r="A16" s="2" t="s">
        <v>115</v>
      </c>
      <c r="B16" s="2" t="s">
        <v>116</v>
      </c>
      <c r="C16" s="2" t="s">
        <v>34</v>
      </c>
      <c r="D16" s="2" t="s">
        <v>82</v>
      </c>
      <c r="E16" s="2" t="s">
        <v>81</v>
      </c>
      <c r="F16" s="2" t="s">
        <v>82</v>
      </c>
      <c r="G16" s="6">
        <v>45540.0</v>
      </c>
      <c r="H16" s="2" t="s">
        <v>73</v>
      </c>
      <c r="I16" s="2" t="s">
        <v>59</v>
      </c>
      <c r="J16" s="2">
        <v>32562.8</v>
      </c>
    </row>
    <row r="17">
      <c r="A17" s="2" t="s">
        <v>119</v>
      </c>
      <c r="B17" s="2" t="s">
        <v>120</v>
      </c>
      <c r="C17" s="2" t="s">
        <v>34</v>
      </c>
      <c r="D17" s="2" t="s">
        <v>111</v>
      </c>
      <c r="E17" s="2" t="s">
        <v>24</v>
      </c>
      <c r="F17" s="2" t="s">
        <v>111</v>
      </c>
      <c r="G17" s="6">
        <v>45475.0</v>
      </c>
      <c r="H17" s="2" t="s">
        <v>58</v>
      </c>
      <c r="I17" s="2" t="s">
        <v>59</v>
      </c>
      <c r="J17" s="2">
        <v>24078.44</v>
      </c>
    </row>
    <row r="18">
      <c r="A18" s="2" t="s">
        <v>122</v>
      </c>
      <c r="B18" s="2" t="s">
        <v>123</v>
      </c>
      <c r="C18" s="2" t="s">
        <v>34</v>
      </c>
      <c r="D18" s="2" t="s">
        <v>54</v>
      </c>
      <c r="E18" s="2" t="s">
        <v>124</v>
      </c>
      <c r="F18" s="2" t="s">
        <v>54</v>
      </c>
      <c r="G18" s="6">
        <v>45871.0</v>
      </c>
      <c r="H18" s="2" t="s">
        <v>108</v>
      </c>
      <c r="I18" s="2" t="s">
        <v>59</v>
      </c>
      <c r="J18" s="2">
        <v>29097.3</v>
      </c>
    </row>
    <row r="19">
      <c r="A19" s="2" t="s">
        <v>127</v>
      </c>
      <c r="B19" s="2" t="s">
        <v>128</v>
      </c>
      <c r="C19" s="2" t="s">
        <v>22</v>
      </c>
      <c r="D19" s="2" t="s">
        <v>23</v>
      </c>
      <c r="E19" s="2" t="s">
        <v>111</v>
      </c>
      <c r="F19" s="2" t="s">
        <v>111</v>
      </c>
      <c r="G19" s="6">
        <v>45306.0</v>
      </c>
      <c r="H19" s="2" t="s">
        <v>28</v>
      </c>
      <c r="I19" s="2" t="s">
        <v>29</v>
      </c>
      <c r="J19" s="2">
        <v>559559.73</v>
      </c>
    </row>
    <row r="20">
      <c r="A20" s="2" t="s">
        <v>131</v>
      </c>
      <c r="B20" s="2" t="s">
        <v>132</v>
      </c>
      <c r="C20" s="2" t="s">
        <v>22</v>
      </c>
      <c r="D20" s="2" t="s">
        <v>23</v>
      </c>
      <c r="E20" s="2" t="s">
        <v>63</v>
      </c>
      <c r="F20" s="2" t="s">
        <v>111</v>
      </c>
      <c r="G20" s="6">
        <v>45499.0</v>
      </c>
      <c r="H20" s="2" t="s">
        <v>58</v>
      </c>
      <c r="I20" s="2" t="s">
        <v>59</v>
      </c>
      <c r="J20" s="2">
        <v>105296.87</v>
      </c>
    </row>
    <row r="21">
      <c r="A21" s="2" t="s">
        <v>135</v>
      </c>
      <c r="B21" s="2" t="s">
        <v>136</v>
      </c>
      <c r="C21" s="2" t="s">
        <v>22</v>
      </c>
      <c r="D21" s="2" t="s">
        <v>23</v>
      </c>
      <c r="E21" s="2" t="s">
        <v>63</v>
      </c>
      <c r="F21" s="2" t="s">
        <v>111</v>
      </c>
      <c r="G21" s="6">
        <v>45479.0</v>
      </c>
      <c r="H21" s="2" t="s">
        <v>58</v>
      </c>
      <c r="I21" s="2" t="s">
        <v>59</v>
      </c>
      <c r="J21" s="2">
        <v>138733.49</v>
      </c>
    </row>
    <row r="22">
      <c r="A22" s="2" t="s">
        <v>138</v>
      </c>
      <c r="B22" s="2" t="s">
        <v>139</v>
      </c>
      <c r="C22" s="2" t="s">
        <v>34</v>
      </c>
      <c r="D22" s="2" t="s">
        <v>31</v>
      </c>
      <c r="E22" s="2" t="s">
        <v>35</v>
      </c>
      <c r="F22" s="2" t="s">
        <v>31</v>
      </c>
      <c r="G22" s="6">
        <v>45619.0</v>
      </c>
      <c r="H22" s="2" t="s">
        <v>142</v>
      </c>
      <c r="I22" s="2" t="s">
        <v>39</v>
      </c>
      <c r="J22" s="2">
        <v>33435.12</v>
      </c>
    </row>
    <row r="23">
      <c r="A23" s="2" t="s">
        <v>143</v>
      </c>
      <c r="B23" s="2" t="s">
        <v>144</v>
      </c>
      <c r="C23" s="2" t="s">
        <v>34</v>
      </c>
      <c r="D23" s="2" t="s">
        <v>31</v>
      </c>
      <c r="E23" s="2" t="s">
        <v>145</v>
      </c>
      <c r="F23" s="2" t="s">
        <v>31</v>
      </c>
      <c r="G23" s="6">
        <v>45970.0</v>
      </c>
      <c r="H23" s="2" t="s">
        <v>142</v>
      </c>
      <c r="I23" s="2" t="s">
        <v>39</v>
      </c>
      <c r="J23" s="2">
        <v>18638.21</v>
      </c>
    </row>
    <row r="24">
      <c r="A24" s="2" t="s">
        <v>148</v>
      </c>
      <c r="B24" s="2" t="s">
        <v>149</v>
      </c>
      <c r="C24" s="2" t="s">
        <v>22</v>
      </c>
      <c r="D24" s="2" t="s">
        <v>23</v>
      </c>
      <c r="E24" s="2" t="s">
        <v>97</v>
      </c>
      <c r="F24" s="2" t="s">
        <v>111</v>
      </c>
      <c r="G24" s="6">
        <v>45575.0</v>
      </c>
      <c r="H24" s="2" t="s">
        <v>49</v>
      </c>
      <c r="I24" s="2" t="s">
        <v>39</v>
      </c>
      <c r="J24" s="2">
        <v>90215.59</v>
      </c>
    </row>
    <row r="25">
      <c r="A25" s="2" t="s">
        <v>150</v>
      </c>
      <c r="B25" s="2" t="s">
        <v>151</v>
      </c>
      <c r="C25" s="2" t="s">
        <v>22</v>
      </c>
      <c r="D25" s="2" t="s">
        <v>62</v>
      </c>
      <c r="E25" s="2" t="s">
        <v>111</v>
      </c>
      <c r="F25" s="2" t="s">
        <v>111</v>
      </c>
      <c r="G25" s="6">
        <v>45578.0</v>
      </c>
      <c r="H25" s="2" t="s">
        <v>49</v>
      </c>
      <c r="I25" s="2" t="s">
        <v>39</v>
      </c>
      <c r="J25" s="2">
        <v>7490.67</v>
      </c>
    </row>
    <row r="26">
      <c r="A26" s="2" t="s">
        <v>153</v>
      </c>
      <c r="B26" s="2" t="s">
        <v>154</v>
      </c>
      <c r="C26" s="2" t="s">
        <v>34</v>
      </c>
      <c r="D26" s="2" t="s">
        <v>82</v>
      </c>
      <c r="E26" s="2" t="s">
        <v>94</v>
      </c>
      <c r="F26" s="2" t="s">
        <v>82</v>
      </c>
      <c r="G26" s="6">
        <v>45499.0</v>
      </c>
      <c r="H26" s="2" t="s">
        <v>58</v>
      </c>
      <c r="I26" s="2" t="s">
        <v>59</v>
      </c>
      <c r="J26" s="2">
        <v>26135.97</v>
      </c>
    </row>
    <row r="27">
      <c r="A27" s="2" t="s">
        <v>156</v>
      </c>
      <c r="B27" s="2" t="s">
        <v>157</v>
      </c>
      <c r="C27" s="2" t="s">
        <v>34</v>
      </c>
      <c r="D27" s="2" t="s">
        <v>90</v>
      </c>
      <c r="E27" s="2" t="s">
        <v>90</v>
      </c>
      <c r="F27" s="2" t="s">
        <v>90</v>
      </c>
      <c r="G27" s="6">
        <v>45426.0</v>
      </c>
      <c r="H27" s="2" t="s">
        <v>87</v>
      </c>
      <c r="I27" s="2" t="s">
        <v>67</v>
      </c>
      <c r="J27" s="2">
        <v>12105.45</v>
      </c>
    </row>
    <row r="28">
      <c r="A28" s="2" t="s">
        <v>159</v>
      </c>
      <c r="B28" s="2" t="s">
        <v>160</v>
      </c>
      <c r="C28" s="2" t="s">
        <v>34</v>
      </c>
      <c r="D28" s="2" t="s">
        <v>31</v>
      </c>
      <c r="E28" s="2" t="s">
        <v>31</v>
      </c>
      <c r="F28" s="2" t="s">
        <v>31</v>
      </c>
      <c r="G28" s="6">
        <v>45434.0</v>
      </c>
      <c r="H28" s="2" t="s">
        <v>87</v>
      </c>
      <c r="I28" s="2" t="s">
        <v>67</v>
      </c>
      <c r="J28" s="2">
        <v>24138.1</v>
      </c>
    </row>
    <row r="29">
      <c r="A29" s="2" t="s">
        <v>162</v>
      </c>
      <c r="B29" s="2" t="s">
        <v>163</v>
      </c>
      <c r="C29" s="2" t="s">
        <v>22</v>
      </c>
      <c r="D29" s="2" t="s">
        <v>85</v>
      </c>
      <c r="E29" s="2" t="s">
        <v>97</v>
      </c>
      <c r="F29" s="2" t="s">
        <v>111</v>
      </c>
      <c r="G29" s="6">
        <v>45327.0</v>
      </c>
      <c r="H29" s="2" t="s">
        <v>126</v>
      </c>
      <c r="I29" s="2" t="s">
        <v>29</v>
      </c>
      <c r="J29" s="2">
        <v>20871.91</v>
      </c>
    </row>
    <row r="30">
      <c r="A30" s="2" t="s">
        <v>165</v>
      </c>
      <c r="B30" s="2" t="s">
        <v>166</v>
      </c>
      <c r="C30" s="2" t="s">
        <v>34</v>
      </c>
      <c r="D30" s="2" t="s">
        <v>31</v>
      </c>
      <c r="E30" s="2" t="s">
        <v>35</v>
      </c>
      <c r="F30" s="2" t="s">
        <v>31</v>
      </c>
      <c r="G30" s="6">
        <v>45424.0</v>
      </c>
      <c r="H30" s="2" t="s">
        <v>87</v>
      </c>
      <c r="I30" s="2" t="s">
        <v>67</v>
      </c>
      <c r="J30" s="2">
        <v>37997.96</v>
      </c>
    </row>
    <row r="31">
      <c r="A31" s="2" t="s">
        <v>169</v>
      </c>
      <c r="B31" s="2" t="s">
        <v>170</v>
      </c>
      <c r="C31" s="2" t="s">
        <v>34</v>
      </c>
      <c r="D31" s="2" t="s">
        <v>51</v>
      </c>
      <c r="E31" s="2" t="s">
        <v>68</v>
      </c>
      <c r="F31" s="2" t="s">
        <v>51</v>
      </c>
      <c r="G31" s="6">
        <v>45376.0</v>
      </c>
      <c r="H31" s="2" t="s">
        <v>44</v>
      </c>
      <c r="I31" s="2" t="s">
        <v>29</v>
      </c>
      <c r="J31" s="2">
        <v>22421.75</v>
      </c>
    </row>
    <row r="32">
      <c r="A32" s="2" t="s">
        <v>172</v>
      </c>
      <c r="B32" s="2" t="s">
        <v>173</v>
      </c>
      <c r="C32" s="2" t="s">
        <v>34</v>
      </c>
      <c r="D32" s="2" t="s">
        <v>51</v>
      </c>
      <c r="E32" s="2" t="s">
        <v>50</v>
      </c>
      <c r="F32" s="2" t="s">
        <v>51</v>
      </c>
      <c r="G32" s="6">
        <v>45512.0</v>
      </c>
      <c r="H32" s="2" t="s">
        <v>108</v>
      </c>
      <c r="I32" s="2" t="s">
        <v>59</v>
      </c>
      <c r="J32" s="2">
        <v>12571.55</v>
      </c>
    </row>
    <row r="33">
      <c r="A33" s="2" t="s">
        <v>175</v>
      </c>
      <c r="B33" s="2" t="s">
        <v>176</v>
      </c>
      <c r="C33" s="2" t="s">
        <v>34</v>
      </c>
      <c r="D33" s="2" t="s">
        <v>90</v>
      </c>
      <c r="E33" s="2" t="s">
        <v>114</v>
      </c>
      <c r="F33" s="2" t="s">
        <v>90</v>
      </c>
      <c r="G33" s="6">
        <v>45313.0</v>
      </c>
      <c r="H33" s="2" t="s">
        <v>28</v>
      </c>
      <c r="I33" s="2" t="s">
        <v>29</v>
      </c>
      <c r="J33" s="2">
        <v>12219.14</v>
      </c>
    </row>
    <row r="34">
      <c r="A34" s="2" t="s">
        <v>178</v>
      </c>
      <c r="B34" s="2" t="s">
        <v>179</v>
      </c>
      <c r="C34" s="2" t="s">
        <v>34</v>
      </c>
      <c r="D34" s="2" t="s">
        <v>82</v>
      </c>
      <c r="E34" s="2" t="s">
        <v>81</v>
      </c>
      <c r="F34" s="2" t="s">
        <v>82</v>
      </c>
      <c r="G34" s="6">
        <v>45449.0</v>
      </c>
      <c r="H34" s="2" t="s">
        <v>113</v>
      </c>
      <c r="I34" s="2" t="s">
        <v>67</v>
      </c>
      <c r="J34" s="2">
        <v>30079.33</v>
      </c>
    </row>
    <row r="35">
      <c r="A35" s="2" t="s">
        <v>181</v>
      </c>
      <c r="B35" s="2" t="s">
        <v>182</v>
      </c>
      <c r="C35" s="2" t="s">
        <v>34</v>
      </c>
      <c r="D35" s="2" t="s">
        <v>31</v>
      </c>
      <c r="E35" s="2" t="s">
        <v>30</v>
      </c>
      <c r="F35" s="2" t="s">
        <v>31</v>
      </c>
      <c r="G35" s="6">
        <v>45410.0</v>
      </c>
      <c r="H35" s="2" t="s">
        <v>66</v>
      </c>
      <c r="I35" s="2" t="s">
        <v>67</v>
      </c>
      <c r="J35" s="2">
        <v>13746.82</v>
      </c>
    </row>
    <row r="36">
      <c r="A36" s="2" t="s">
        <v>184</v>
      </c>
      <c r="B36" s="2" t="s">
        <v>185</v>
      </c>
      <c r="C36" s="2" t="s">
        <v>34</v>
      </c>
      <c r="D36" s="2" t="s">
        <v>31</v>
      </c>
      <c r="E36" s="2" t="s">
        <v>31</v>
      </c>
      <c r="F36" s="2" t="s">
        <v>31</v>
      </c>
      <c r="G36" s="6">
        <v>45371.0</v>
      </c>
      <c r="H36" s="2" t="s">
        <v>44</v>
      </c>
      <c r="I36" s="2" t="s">
        <v>29</v>
      </c>
      <c r="J36" s="2">
        <v>18874.72</v>
      </c>
    </row>
    <row r="37">
      <c r="A37" s="2" t="s">
        <v>186</v>
      </c>
      <c r="B37" s="2" t="s">
        <v>110</v>
      </c>
      <c r="C37" s="2" t="s">
        <v>22</v>
      </c>
      <c r="D37" s="2" t="s">
        <v>23</v>
      </c>
      <c r="E37" s="2" t="s">
        <v>97</v>
      </c>
      <c r="F37" s="2" t="s">
        <v>111</v>
      </c>
      <c r="G37" s="6">
        <v>45471.0</v>
      </c>
      <c r="H37" s="2" t="s">
        <v>113</v>
      </c>
      <c r="I37" s="2" t="s">
        <v>67</v>
      </c>
      <c r="J37" s="2">
        <v>144260.58</v>
      </c>
    </row>
    <row r="38">
      <c r="A38" s="2" t="s">
        <v>188</v>
      </c>
      <c r="B38" s="2" t="s">
        <v>189</v>
      </c>
      <c r="C38" s="2" t="s">
        <v>22</v>
      </c>
      <c r="D38" s="2" t="s">
        <v>85</v>
      </c>
      <c r="E38" s="2" t="s">
        <v>97</v>
      </c>
      <c r="F38" s="2" t="s">
        <v>111</v>
      </c>
      <c r="G38" s="6">
        <v>45554.0</v>
      </c>
      <c r="H38" s="2" t="s">
        <v>73</v>
      </c>
      <c r="I38" s="2" t="s">
        <v>59</v>
      </c>
      <c r="J38" s="2">
        <v>24777.81</v>
      </c>
    </row>
    <row r="39">
      <c r="A39" s="2" t="s">
        <v>191</v>
      </c>
      <c r="B39" s="2" t="s">
        <v>192</v>
      </c>
      <c r="C39" s="2" t="s">
        <v>34</v>
      </c>
      <c r="D39" s="2" t="s">
        <v>51</v>
      </c>
      <c r="E39" s="2" t="s">
        <v>50</v>
      </c>
      <c r="F39" s="2" t="s">
        <v>51</v>
      </c>
      <c r="G39" s="6">
        <v>45554.0</v>
      </c>
      <c r="H39" s="2" t="s">
        <v>73</v>
      </c>
      <c r="I39" s="2" t="s">
        <v>59</v>
      </c>
      <c r="J39" s="2">
        <v>27990.06</v>
      </c>
    </row>
    <row r="40">
      <c r="A40" s="2" t="s">
        <v>194</v>
      </c>
      <c r="B40" s="2" t="s">
        <v>195</v>
      </c>
      <c r="C40" s="2" t="s">
        <v>34</v>
      </c>
      <c r="D40" s="2" t="s">
        <v>54</v>
      </c>
      <c r="E40" s="2" t="s">
        <v>196</v>
      </c>
      <c r="F40" s="2" t="s">
        <v>54</v>
      </c>
      <c r="G40" s="6">
        <v>45357.0</v>
      </c>
      <c r="H40" s="2" t="s">
        <v>44</v>
      </c>
      <c r="I40" s="2" t="s">
        <v>29</v>
      </c>
      <c r="J40" s="2">
        <v>58324.51</v>
      </c>
    </row>
    <row r="41">
      <c r="A41" s="2" t="s">
        <v>198</v>
      </c>
      <c r="B41" s="2" t="s">
        <v>199</v>
      </c>
      <c r="C41" s="2" t="s">
        <v>22</v>
      </c>
      <c r="D41" s="2" t="s">
        <v>85</v>
      </c>
      <c r="E41" s="2" t="s">
        <v>97</v>
      </c>
      <c r="F41" s="2" t="s">
        <v>111</v>
      </c>
      <c r="G41" s="6">
        <v>45444.0</v>
      </c>
      <c r="H41" s="2" t="s">
        <v>113</v>
      </c>
      <c r="I41" s="2" t="s">
        <v>67</v>
      </c>
      <c r="J41" s="2">
        <v>28569.62</v>
      </c>
    </row>
    <row r="42">
      <c r="A42" s="2" t="s">
        <v>200</v>
      </c>
      <c r="B42" s="2" t="s">
        <v>201</v>
      </c>
      <c r="C42" s="2" t="s">
        <v>34</v>
      </c>
      <c r="D42" s="2" t="s">
        <v>82</v>
      </c>
      <c r="E42" s="2" t="s">
        <v>99</v>
      </c>
      <c r="F42" s="2" t="s">
        <v>82</v>
      </c>
      <c r="G42" s="6">
        <v>45488.0</v>
      </c>
      <c r="H42" s="2" t="s">
        <v>58</v>
      </c>
      <c r="I42" s="2" t="s">
        <v>59</v>
      </c>
      <c r="J42" s="2">
        <v>17996.1</v>
      </c>
    </row>
    <row r="43">
      <c r="A43" s="2" t="s">
        <v>203</v>
      </c>
      <c r="B43" s="2" t="s">
        <v>204</v>
      </c>
      <c r="C43" s="2" t="s">
        <v>34</v>
      </c>
      <c r="D43" s="2" t="s">
        <v>82</v>
      </c>
      <c r="E43" s="2" t="s">
        <v>94</v>
      </c>
      <c r="F43" s="2" t="s">
        <v>82</v>
      </c>
      <c r="G43" s="6">
        <v>45751.0</v>
      </c>
      <c r="H43" s="2" t="s">
        <v>66</v>
      </c>
      <c r="I43" s="2" t="s">
        <v>67</v>
      </c>
      <c r="J43" s="2">
        <v>36377.1</v>
      </c>
    </row>
    <row r="44">
      <c r="A44" s="2" t="s">
        <v>207</v>
      </c>
      <c r="B44" s="2" t="s">
        <v>208</v>
      </c>
      <c r="C44" s="2" t="s">
        <v>34</v>
      </c>
      <c r="D44" s="2" t="s">
        <v>82</v>
      </c>
      <c r="E44" s="2" t="s">
        <v>82</v>
      </c>
      <c r="F44" s="2" t="s">
        <v>82</v>
      </c>
      <c r="G44" s="6">
        <v>45400.0</v>
      </c>
      <c r="H44" s="2" t="s">
        <v>66</v>
      </c>
      <c r="I44" s="2" t="s">
        <v>67</v>
      </c>
      <c r="J44" s="2">
        <v>26734.12</v>
      </c>
    </row>
    <row r="45">
      <c r="A45" s="2" t="s">
        <v>210</v>
      </c>
      <c r="B45" s="2" t="s">
        <v>211</v>
      </c>
      <c r="C45" s="2" t="s">
        <v>22</v>
      </c>
      <c r="D45" s="2" t="s">
        <v>62</v>
      </c>
      <c r="E45" s="2" t="s">
        <v>24</v>
      </c>
      <c r="F45" s="2" t="s">
        <v>111</v>
      </c>
      <c r="G45" s="6">
        <v>45366.0</v>
      </c>
      <c r="H45" s="2" t="s">
        <v>44</v>
      </c>
      <c r="I45" s="2" t="s">
        <v>29</v>
      </c>
      <c r="J45" s="2">
        <v>6371.57</v>
      </c>
    </row>
    <row r="46">
      <c r="A46" s="2" t="s">
        <v>214</v>
      </c>
      <c r="B46" s="2" t="s">
        <v>215</v>
      </c>
      <c r="C46" s="2" t="s">
        <v>22</v>
      </c>
      <c r="D46" s="2" t="s">
        <v>85</v>
      </c>
      <c r="E46" s="2" t="s">
        <v>24</v>
      </c>
      <c r="F46" s="2" t="s">
        <v>111</v>
      </c>
      <c r="G46" s="6">
        <v>45440.0</v>
      </c>
      <c r="H46" s="2" t="s">
        <v>87</v>
      </c>
      <c r="I46" s="2" t="s">
        <v>67</v>
      </c>
      <c r="J46" s="2">
        <v>14601.16</v>
      </c>
    </row>
    <row r="47">
      <c r="A47" s="2" t="s">
        <v>217</v>
      </c>
      <c r="B47" s="2" t="s">
        <v>218</v>
      </c>
      <c r="C47" s="2" t="s">
        <v>22</v>
      </c>
      <c r="D47" s="2" t="s">
        <v>62</v>
      </c>
      <c r="E47" s="2" t="s">
        <v>63</v>
      </c>
      <c r="F47" s="2" t="s">
        <v>111</v>
      </c>
      <c r="G47" s="6">
        <v>45465.0</v>
      </c>
      <c r="H47" s="2" t="s">
        <v>113</v>
      </c>
      <c r="I47" s="2" t="s">
        <v>67</v>
      </c>
      <c r="J47" s="2">
        <v>8918.29</v>
      </c>
    </row>
    <row r="48">
      <c r="A48" s="2" t="s">
        <v>219</v>
      </c>
      <c r="B48" s="2" t="s">
        <v>220</v>
      </c>
      <c r="C48" s="2" t="s">
        <v>22</v>
      </c>
      <c r="D48" s="2" t="s">
        <v>62</v>
      </c>
      <c r="E48" s="2" t="s">
        <v>97</v>
      </c>
      <c r="F48" s="2" t="s">
        <v>111</v>
      </c>
      <c r="G48" s="6">
        <v>45450.0</v>
      </c>
      <c r="H48" s="2" t="s">
        <v>113</v>
      </c>
      <c r="I48" s="2" t="s">
        <v>67</v>
      </c>
      <c r="J48" s="2">
        <v>6040.53</v>
      </c>
    </row>
    <row r="49">
      <c r="A49" s="2" t="s">
        <v>222</v>
      </c>
      <c r="B49" s="2" t="s">
        <v>223</v>
      </c>
      <c r="C49" s="2" t="s">
        <v>22</v>
      </c>
      <c r="D49" s="2" t="s">
        <v>62</v>
      </c>
      <c r="E49" s="2" t="s">
        <v>111</v>
      </c>
      <c r="F49" s="2" t="s">
        <v>111</v>
      </c>
      <c r="G49" s="6">
        <v>45371.0</v>
      </c>
      <c r="H49" s="2" t="s">
        <v>44</v>
      </c>
      <c r="I49" s="2" t="s">
        <v>29</v>
      </c>
      <c r="J49" s="2">
        <v>7976.65</v>
      </c>
    </row>
    <row r="50">
      <c r="A50" s="2" t="s">
        <v>225</v>
      </c>
      <c r="B50" s="2" t="s">
        <v>226</v>
      </c>
      <c r="C50" s="2" t="s">
        <v>22</v>
      </c>
      <c r="D50" s="2" t="s">
        <v>23</v>
      </c>
      <c r="E50" s="2" t="s">
        <v>111</v>
      </c>
      <c r="F50" s="2" t="s">
        <v>111</v>
      </c>
      <c r="G50" s="6">
        <v>45636.0</v>
      </c>
      <c r="H50" s="2" t="s">
        <v>38</v>
      </c>
      <c r="I50" s="2" t="s">
        <v>39</v>
      </c>
      <c r="J50" s="2">
        <v>192445.88</v>
      </c>
    </row>
    <row r="51">
      <c r="A51" s="2" t="s">
        <v>228</v>
      </c>
      <c r="B51" s="2" t="s">
        <v>229</v>
      </c>
      <c r="C51" s="2" t="s">
        <v>34</v>
      </c>
      <c r="D51" s="2" t="s">
        <v>31</v>
      </c>
      <c r="E51" s="2" t="s">
        <v>35</v>
      </c>
      <c r="F51" s="2" t="s">
        <v>31</v>
      </c>
      <c r="G51" s="6">
        <v>45319.0</v>
      </c>
      <c r="H51" s="2" t="s">
        <v>28</v>
      </c>
      <c r="I51" s="2" t="s">
        <v>29</v>
      </c>
      <c r="J51" s="2">
        <v>46810.09</v>
      </c>
    </row>
    <row r="52">
      <c r="A52" s="2" t="s">
        <v>232</v>
      </c>
      <c r="B52" s="2" t="s">
        <v>233</v>
      </c>
      <c r="C52" s="2" t="s">
        <v>34</v>
      </c>
      <c r="D52" s="2" t="s">
        <v>31</v>
      </c>
      <c r="E52" s="2" t="s">
        <v>145</v>
      </c>
      <c r="F52" s="2" t="s">
        <v>31</v>
      </c>
      <c r="G52" s="6">
        <v>45462.0</v>
      </c>
      <c r="H52" s="2" t="s">
        <v>113</v>
      </c>
      <c r="I52" s="2" t="s">
        <v>67</v>
      </c>
      <c r="J52" s="2">
        <v>26973.1</v>
      </c>
    </row>
    <row r="53">
      <c r="A53" s="2" t="s">
        <v>234</v>
      </c>
      <c r="B53" s="2" t="s">
        <v>235</v>
      </c>
      <c r="C53" s="2" t="s">
        <v>34</v>
      </c>
      <c r="D53" s="2" t="s">
        <v>111</v>
      </c>
      <c r="E53" s="2" t="s">
        <v>97</v>
      </c>
      <c r="F53" s="2" t="s">
        <v>111</v>
      </c>
      <c r="G53" s="6">
        <v>45529.0</v>
      </c>
      <c r="H53" s="2" t="s">
        <v>108</v>
      </c>
      <c r="I53" s="2" t="s">
        <v>59</v>
      </c>
      <c r="J53" s="2">
        <v>10669.47</v>
      </c>
    </row>
    <row r="54">
      <c r="A54" s="2" t="s">
        <v>238</v>
      </c>
      <c r="B54" s="2" t="s">
        <v>239</v>
      </c>
      <c r="C54" s="2" t="s">
        <v>22</v>
      </c>
      <c r="D54" s="2" t="s">
        <v>85</v>
      </c>
      <c r="E54" s="2" t="s">
        <v>111</v>
      </c>
      <c r="F54" s="2" t="s">
        <v>111</v>
      </c>
      <c r="G54" s="6">
        <v>45641.0</v>
      </c>
      <c r="H54" s="2" t="s">
        <v>38</v>
      </c>
      <c r="I54" s="2" t="s">
        <v>39</v>
      </c>
      <c r="J54" s="2">
        <v>24516.69</v>
      </c>
    </row>
    <row r="55">
      <c r="A55" s="2" t="s">
        <v>241</v>
      </c>
      <c r="B55" s="2" t="s">
        <v>242</v>
      </c>
      <c r="C55" s="2" t="s">
        <v>22</v>
      </c>
      <c r="D55" s="2" t="s">
        <v>62</v>
      </c>
      <c r="E55" s="2" t="s">
        <v>111</v>
      </c>
      <c r="F55" s="2" t="s">
        <v>111</v>
      </c>
      <c r="G55" s="6">
        <v>45616.0</v>
      </c>
      <c r="H55" s="2" t="s">
        <v>142</v>
      </c>
      <c r="I55" s="2" t="s">
        <v>39</v>
      </c>
      <c r="J55" s="2">
        <v>6484.32</v>
      </c>
    </row>
    <row r="56">
      <c r="A56" s="2" t="s">
        <v>243</v>
      </c>
      <c r="B56" s="2" t="s">
        <v>244</v>
      </c>
      <c r="C56" s="2" t="s">
        <v>22</v>
      </c>
      <c r="D56" s="2" t="s">
        <v>23</v>
      </c>
      <c r="E56" s="2" t="s">
        <v>97</v>
      </c>
      <c r="F56" s="2" t="s">
        <v>111</v>
      </c>
      <c r="G56" s="6">
        <v>46211.0</v>
      </c>
      <c r="H56" s="2" t="s">
        <v>58</v>
      </c>
      <c r="I56" s="2" t="s">
        <v>59</v>
      </c>
      <c r="J56" s="2">
        <v>234800.48</v>
      </c>
    </row>
    <row r="57">
      <c r="A57" s="2" t="s">
        <v>246</v>
      </c>
      <c r="B57" s="2" t="s">
        <v>247</v>
      </c>
      <c r="C57" s="2" t="s">
        <v>22</v>
      </c>
      <c r="D57" s="2" t="s">
        <v>62</v>
      </c>
      <c r="E57" s="2" t="s">
        <v>97</v>
      </c>
      <c r="F57" s="2" t="s">
        <v>111</v>
      </c>
      <c r="G57" s="6">
        <v>45397.0</v>
      </c>
      <c r="H57" s="2" t="s">
        <v>66</v>
      </c>
      <c r="I57" s="2" t="s">
        <v>67</v>
      </c>
      <c r="J57" s="2">
        <v>11239.35</v>
      </c>
    </row>
    <row r="58">
      <c r="A58" s="2" t="s">
        <v>248</v>
      </c>
      <c r="B58" s="2" t="s">
        <v>249</v>
      </c>
      <c r="C58" s="2" t="s">
        <v>22</v>
      </c>
      <c r="D58" s="2" t="s">
        <v>85</v>
      </c>
      <c r="E58" s="2" t="s">
        <v>97</v>
      </c>
      <c r="F58" s="2" t="s">
        <v>111</v>
      </c>
      <c r="G58" s="6">
        <v>45545.0</v>
      </c>
      <c r="H58" s="2" t="s">
        <v>73</v>
      </c>
      <c r="I58" s="2" t="s">
        <v>59</v>
      </c>
      <c r="J58" s="2">
        <v>13928.63</v>
      </c>
    </row>
    <row r="59">
      <c r="A59" s="2" t="s">
        <v>251</v>
      </c>
      <c r="B59" s="2" t="s">
        <v>252</v>
      </c>
      <c r="C59" s="2" t="s">
        <v>22</v>
      </c>
      <c r="D59" s="2" t="s">
        <v>85</v>
      </c>
      <c r="E59" s="2" t="s">
        <v>111</v>
      </c>
      <c r="F59" s="2" t="s">
        <v>111</v>
      </c>
      <c r="G59" s="6">
        <v>45400.0</v>
      </c>
      <c r="H59" s="2" t="s">
        <v>66</v>
      </c>
      <c r="I59" s="2" t="s">
        <v>67</v>
      </c>
      <c r="J59" s="2">
        <v>50605.28</v>
      </c>
    </row>
    <row r="60">
      <c r="A60" s="2" t="s">
        <v>254</v>
      </c>
      <c r="B60" s="2" t="s">
        <v>255</v>
      </c>
      <c r="C60" s="2" t="s">
        <v>34</v>
      </c>
      <c r="D60" s="2" t="s">
        <v>31</v>
      </c>
      <c r="E60" s="2" t="s">
        <v>145</v>
      </c>
      <c r="F60" s="2" t="s">
        <v>31</v>
      </c>
      <c r="G60" s="6">
        <v>45480.0</v>
      </c>
      <c r="H60" s="2" t="s">
        <v>58</v>
      </c>
      <c r="I60" s="2" t="s">
        <v>59</v>
      </c>
      <c r="J60" s="2">
        <v>35318.3</v>
      </c>
    </row>
    <row r="61">
      <c r="A61" s="2" t="s">
        <v>257</v>
      </c>
      <c r="B61" s="2" t="s">
        <v>89</v>
      </c>
      <c r="C61" s="2" t="s">
        <v>22</v>
      </c>
      <c r="D61" s="2" t="s">
        <v>62</v>
      </c>
      <c r="E61" s="2" t="s">
        <v>24</v>
      </c>
      <c r="F61" s="2" t="s">
        <v>111</v>
      </c>
      <c r="G61" s="6">
        <v>45550.0</v>
      </c>
      <c r="H61" s="2" t="s">
        <v>73</v>
      </c>
      <c r="I61" s="2" t="s">
        <v>59</v>
      </c>
      <c r="J61" s="2">
        <v>9224.9</v>
      </c>
    </row>
    <row r="62">
      <c r="A62" s="2" t="s">
        <v>258</v>
      </c>
      <c r="B62" s="2" t="s">
        <v>259</v>
      </c>
      <c r="C62" s="2" t="s">
        <v>34</v>
      </c>
      <c r="D62" s="2" t="s">
        <v>54</v>
      </c>
      <c r="E62" s="2" t="s">
        <v>55</v>
      </c>
      <c r="F62" s="2" t="s">
        <v>54</v>
      </c>
      <c r="G62" s="6">
        <v>45758.0</v>
      </c>
      <c r="H62" s="2" t="s">
        <v>66</v>
      </c>
      <c r="I62" s="2" t="s">
        <v>67</v>
      </c>
      <c r="J62" s="2">
        <v>49650.39</v>
      </c>
    </row>
    <row r="63">
      <c r="A63" s="2" t="s">
        <v>261</v>
      </c>
      <c r="B63" s="2" t="s">
        <v>239</v>
      </c>
      <c r="C63" s="2" t="s">
        <v>34</v>
      </c>
      <c r="D63" s="2" t="s">
        <v>82</v>
      </c>
      <c r="E63" s="2" t="s">
        <v>82</v>
      </c>
      <c r="F63" s="2" t="s">
        <v>82</v>
      </c>
      <c r="G63" s="6">
        <v>45641.0</v>
      </c>
      <c r="H63" s="2" t="s">
        <v>38</v>
      </c>
      <c r="I63" s="2" t="s">
        <v>39</v>
      </c>
      <c r="J63" s="2">
        <v>16137.19</v>
      </c>
    </row>
    <row r="64">
      <c r="A64" s="2" t="s">
        <v>262</v>
      </c>
      <c r="B64" s="2" t="s">
        <v>263</v>
      </c>
      <c r="C64" s="2" t="s">
        <v>22</v>
      </c>
      <c r="D64" s="2" t="s">
        <v>62</v>
      </c>
      <c r="E64" s="2" t="s">
        <v>111</v>
      </c>
      <c r="F64" s="2" t="s">
        <v>111</v>
      </c>
      <c r="G64" s="6">
        <v>45387.0</v>
      </c>
      <c r="H64" s="2" t="s">
        <v>66</v>
      </c>
      <c r="I64" s="2" t="s">
        <v>67</v>
      </c>
      <c r="J64" s="2">
        <v>8576.04</v>
      </c>
    </row>
    <row r="65">
      <c r="A65" s="2" t="s">
        <v>265</v>
      </c>
      <c r="B65" s="2" t="s">
        <v>239</v>
      </c>
      <c r="C65" s="2" t="s">
        <v>22</v>
      </c>
      <c r="D65" s="2" t="s">
        <v>62</v>
      </c>
      <c r="E65" s="2" t="s">
        <v>111</v>
      </c>
      <c r="F65" s="2" t="s">
        <v>111</v>
      </c>
      <c r="G65" s="6">
        <v>45641.0</v>
      </c>
      <c r="H65" s="2" t="s">
        <v>38</v>
      </c>
      <c r="I65" s="2" t="s">
        <v>39</v>
      </c>
      <c r="J65" s="2">
        <v>10361.24</v>
      </c>
    </row>
    <row r="66">
      <c r="A66" s="2" t="s">
        <v>266</v>
      </c>
      <c r="B66" s="2" t="s">
        <v>267</v>
      </c>
      <c r="C66" s="2" t="s">
        <v>34</v>
      </c>
      <c r="D66" s="2" t="s">
        <v>82</v>
      </c>
      <c r="E66" s="2" t="s">
        <v>99</v>
      </c>
      <c r="F66" s="2" t="s">
        <v>82</v>
      </c>
      <c r="G66" s="6">
        <v>45430.0</v>
      </c>
      <c r="H66" s="2" t="s">
        <v>87</v>
      </c>
      <c r="I66" s="2" t="s">
        <v>67</v>
      </c>
      <c r="J66" s="2">
        <v>38468.72</v>
      </c>
    </row>
    <row r="67">
      <c r="A67" s="2" t="s">
        <v>268</v>
      </c>
      <c r="B67" s="2" t="s">
        <v>269</v>
      </c>
      <c r="C67" s="2" t="s">
        <v>22</v>
      </c>
      <c r="D67" s="2" t="s">
        <v>85</v>
      </c>
      <c r="E67" s="2" t="s">
        <v>24</v>
      </c>
      <c r="F67" s="2" t="s">
        <v>111</v>
      </c>
      <c r="G67" s="6">
        <v>46154.0</v>
      </c>
      <c r="H67" s="2" t="s">
        <v>87</v>
      </c>
      <c r="I67" s="2" t="s">
        <v>67</v>
      </c>
      <c r="J67" s="2">
        <v>12245.36</v>
      </c>
    </row>
    <row r="68">
      <c r="A68" s="2" t="s">
        <v>270</v>
      </c>
      <c r="B68" s="2" t="s">
        <v>271</v>
      </c>
      <c r="C68" s="2" t="s">
        <v>22</v>
      </c>
      <c r="D68" s="2" t="s">
        <v>85</v>
      </c>
      <c r="E68" s="2" t="s">
        <v>97</v>
      </c>
      <c r="F68" s="2" t="s">
        <v>111</v>
      </c>
      <c r="G68" s="6">
        <v>45603.0</v>
      </c>
      <c r="H68" s="2" t="s">
        <v>142</v>
      </c>
      <c r="I68" s="2" t="s">
        <v>39</v>
      </c>
      <c r="J68" s="2">
        <v>5237.29</v>
      </c>
    </row>
    <row r="69">
      <c r="A69" s="2" t="s">
        <v>273</v>
      </c>
      <c r="B69" s="2" t="s">
        <v>274</v>
      </c>
      <c r="C69" s="2" t="s">
        <v>22</v>
      </c>
      <c r="D69" s="2" t="s">
        <v>23</v>
      </c>
      <c r="E69" s="2" t="s">
        <v>97</v>
      </c>
      <c r="F69" s="2" t="s">
        <v>111</v>
      </c>
      <c r="G69" s="6">
        <v>45578.0</v>
      </c>
      <c r="H69" s="2" t="s">
        <v>49</v>
      </c>
      <c r="I69" s="2" t="s">
        <v>39</v>
      </c>
      <c r="J69" s="2">
        <v>176379.84</v>
      </c>
    </row>
    <row r="70">
      <c r="A70" s="2" t="s">
        <v>276</v>
      </c>
      <c r="B70" s="2" t="s">
        <v>277</v>
      </c>
      <c r="C70" s="2" t="s">
        <v>34</v>
      </c>
      <c r="D70" s="2" t="s">
        <v>31</v>
      </c>
      <c r="E70" s="2" t="s">
        <v>35</v>
      </c>
      <c r="F70" s="2" t="s">
        <v>31</v>
      </c>
      <c r="G70" s="6">
        <v>45441.0</v>
      </c>
      <c r="H70" s="2" t="s">
        <v>87</v>
      </c>
      <c r="I70" s="2" t="s">
        <v>67</v>
      </c>
      <c r="J70" s="2">
        <v>20825.33</v>
      </c>
    </row>
    <row r="71">
      <c r="A71" s="2" t="s">
        <v>279</v>
      </c>
      <c r="B71" s="2" t="s">
        <v>280</v>
      </c>
      <c r="C71" s="2" t="s">
        <v>22</v>
      </c>
      <c r="D71" s="2" t="s">
        <v>85</v>
      </c>
      <c r="E71" s="2" t="s">
        <v>63</v>
      </c>
      <c r="F71" s="2" t="s">
        <v>111</v>
      </c>
      <c r="G71" s="6">
        <v>45457.0</v>
      </c>
      <c r="H71" s="2" t="s">
        <v>113</v>
      </c>
      <c r="I71" s="2" t="s">
        <v>67</v>
      </c>
      <c r="J71" s="2">
        <v>4920.56</v>
      </c>
    </row>
    <row r="72">
      <c r="A72" s="2" t="s">
        <v>282</v>
      </c>
      <c r="B72" s="2" t="s">
        <v>283</v>
      </c>
      <c r="C72" s="2" t="s">
        <v>22</v>
      </c>
      <c r="D72" s="2" t="s">
        <v>62</v>
      </c>
      <c r="E72" s="2" t="s">
        <v>24</v>
      </c>
      <c r="F72" s="2" t="s">
        <v>111</v>
      </c>
      <c r="G72" s="6">
        <v>45586.0</v>
      </c>
      <c r="H72" s="2" t="s">
        <v>49</v>
      </c>
      <c r="I72" s="2" t="s">
        <v>39</v>
      </c>
      <c r="J72" s="2">
        <v>9013.03</v>
      </c>
    </row>
    <row r="73">
      <c r="A73" s="2" t="s">
        <v>285</v>
      </c>
      <c r="B73" s="2" t="s">
        <v>286</v>
      </c>
      <c r="C73" s="2" t="s">
        <v>34</v>
      </c>
      <c r="D73" s="2" t="s">
        <v>90</v>
      </c>
      <c r="E73" s="2" t="s">
        <v>90</v>
      </c>
      <c r="F73" s="2" t="s">
        <v>90</v>
      </c>
      <c r="G73" s="6">
        <v>45513.0</v>
      </c>
      <c r="H73" s="2" t="s">
        <v>108</v>
      </c>
      <c r="I73" s="2" t="s">
        <v>59</v>
      </c>
      <c r="J73" s="2">
        <v>12676.86</v>
      </c>
    </row>
    <row r="74">
      <c r="A74" s="2" t="s">
        <v>288</v>
      </c>
      <c r="B74" s="2" t="s">
        <v>289</v>
      </c>
      <c r="C74" s="2" t="s">
        <v>34</v>
      </c>
      <c r="D74" s="2" t="s">
        <v>31</v>
      </c>
      <c r="E74" s="2" t="s">
        <v>145</v>
      </c>
      <c r="F74" s="2" t="s">
        <v>31</v>
      </c>
      <c r="G74" s="6">
        <v>45811.0</v>
      </c>
      <c r="H74" s="2" t="s">
        <v>113</v>
      </c>
      <c r="I74" s="2" t="s">
        <v>67</v>
      </c>
      <c r="J74" s="2">
        <v>25409.61</v>
      </c>
    </row>
    <row r="75">
      <c r="A75" s="2" t="s">
        <v>291</v>
      </c>
      <c r="B75" s="2" t="s">
        <v>292</v>
      </c>
      <c r="C75" s="2" t="s">
        <v>34</v>
      </c>
      <c r="D75" s="2" t="s">
        <v>90</v>
      </c>
      <c r="E75" s="2" t="s">
        <v>104</v>
      </c>
      <c r="F75" s="2" t="s">
        <v>90</v>
      </c>
      <c r="G75" s="6">
        <v>45523.0</v>
      </c>
      <c r="H75" s="2" t="s">
        <v>108</v>
      </c>
      <c r="I75" s="2" t="s">
        <v>59</v>
      </c>
      <c r="J75" s="2">
        <v>16961.28</v>
      </c>
    </row>
    <row r="76">
      <c r="A76" s="2" t="s">
        <v>294</v>
      </c>
      <c r="B76" s="2" t="s">
        <v>295</v>
      </c>
      <c r="C76" s="2" t="s">
        <v>34</v>
      </c>
      <c r="D76" s="2" t="s">
        <v>54</v>
      </c>
      <c r="E76" s="2" t="s">
        <v>130</v>
      </c>
      <c r="F76" s="2" t="s">
        <v>54</v>
      </c>
      <c r="G76" s="6">
        <v>45427.0</v>
      </c>
      <c r="H76" s="2" t="s">
        <v>87</v>
      </c>
      <c r="I76" s="2" t="s">
        <v>67</v>
      </c>
      <c r="J76" s="2">
        <v>56546.05</v>
      </c>
    </row>
    <row r="77">
      <c r="A77" s="2" t="s">
        <v>296</v>
      </c>
      <c r="B77" s="2" t="s">
        <v>297</v>
      </c>
      <c r="C77" s="2" t="s">
        <v>34</v>
      </c>
      <c r="D77" s="2" t="s">
        <v>31</v>
      </c>
      <c r="E77" s="2" t="s">
        <v>145</v>
      </c>
      <c r="F77" s="2" t="s">
        <v>31</v>
      </c>
      <c r="G77" s="6">
        <v>46083.0</v>
      </c>
      <c r="H77" s="2" t="s">
        <v>44</v>
      </c>
      <c r="I77" s="2" t="s">
        <v>29</v>
      </c>
      <c r="J77" s="2">
        <v>22073.81</v>
      </c>
    </row>
    <row r="78">
      <c r="A78" s="2" t="s">
        <v>299</v>
      </c>
      <c r="B78" s="2" t="s">
        <v>300</v>
      </c>
      <c r="C78" s="2" t="s">
        <v>22</v>
      </c>
      <c r="D78" s="2" t="s">
        <v>85</v>
      </c>
      <c r="E78" s="2" t="s">
        <v>63</v>
      </c>
      <c r="F78" s="2" t="s">
        <v>111</v>
      </c>
      <c r="G78" s="6">
        <v>45482.0</v>
      </c>
      <c r="H78" s="2" t="s">
        <v>58</v>
      </c>
      <c r="I78" s="2" t="s">
        <v>59</v>
      </c>
      <c r="J78" s="2">
        <v>19438.97</v>
      </c>
    </row>
    <row r="79">
      <c r="A79" s="2" t="s">
        <v>302</v>
      </c>
      <c r="B79" s="2" t="s">
        <v>101</v>
      </c>
      <c r="C79" s="2" t="s">
        <v>34</v>
      </c>
      <c r="D79" s="2" t="s">
        <v>54</v>
      </c>
      <c r="E79" s="2" t="s">
        <v>54</v>
      </c>
      <c r="F79" s="2" t="s">
        <v>54</v>
      </c>
      <c r="G79" s="6">
        <v>45366.0</v>
      </c>
      <c r="H79" s="2" t="s">
        <v>44</v>
      </c>
      <c r="I79" s="2" t="s">
        <v>29</v>
      </c>
      <c r="J79" s="2">
        <v>31905.83</v>
      </c>
    </row>
    <row r="80">
      <c r="A80" s="2" t="s">
        <v>304</v>
      </c>
      <c r="B80" s="2" t="s">
        <v>305</v>
      </c>
      <c r="C80" s="2" t="s">
        <v>34</v>
      </c>
      <c r="D80" s="2" t="s">
        <v>82</v>
      </c>
      <c r="E80" s="2" t="s">
        <v>94</v>
      </c>
      <c r="F80" s="2" t="s">
        <v>82</v>
      </c>
      <c r="G80" s="6">
        <v>45344.0</v>
      </c>
      <c r="H80" s="2" t="s">
        <v>126</v>
      </c>
      <c r="I80" s="2" t="s">
        <v>29</v>
      </c>
      <c r="J80" s="2">
        <v>14146.91</v>
      </c>
    </row>
    <row r="81">
      <c r="A81" s="2" t="s">
        <v>306</v>
      </c>
      <c r="B81" s="2" t="s">
        <v>128</v>
      </c>
      <c r="C81" s="2" t="s">
        <v>22</v>
      </c>
      <c r="D81" s="2" t="s">
        <v>85</v>
      </c>
      <c r="E81" s="2" t="s">
        <v>111</v>
      </c>
      <c r="F81" s="2" t="s">
        <v>111</v>
      </c>
      <c r="G81" s="6">
        <v>45306.0</v>
      </c>
      <c r="H81" s="2" t="s">
        <v>28</v>
      </c>
      <c r="I81" s="2" t="s">
        <v>29</v>
      </c>
      <c r="J81" s="2">
        <v>11716.04</v>
      </c>
    </row>
    <row r="82">
      <c r="A82" s="2" t="s">
        <v>307</v>
      </c>
      <c r="B82" s="2" t="s">
        <v>308</v>
      </c>
      <c r="C82" s="2" t="s">
        <v>22</v>
      </c>
      <c r="D82" s="2" t="s">
        <v>62</v>
      </c>
      <c r="E82" s="2" t="s">
        <v>63</v>
      </c>
      <c r="F82" s="2" t="s">
        <v>111</v>
      </c>
      <c r="G82" s="6">
        <v>45351.0</v>
      </c>
      <c r="H82" s="2" t="s">
        <v>126</v>
      </c>
      <c r="I82" s="2" t="s">
        <v>29</v>
      </c>
      <c r="J82" s="2">
        <v>8582.78</v>
      </c>
    </row>
    <row r="83">
      <c r="A83" s="2" t="s">
        <v>310</v>
      </c>
      <c r="B83" s="2" t="s">
        <v>311</v>
      </c>
      <c r="C83" s="2" t="s">
        <v>34</v>
      </c>
      <c r="D83" s="2" t="s">
        <v>51</v>
      </c>
      <c r="E83" s="2" t="s">
        <v>74</v>
      </c>
      <c r="F83" s="2" t="s">
        <v>51</v>
      </c>
      <c r="G83" s="6">
        <v>45580.0</v>
      </c>
      <c r="H83" s="2" t="s">
        <v>49</v>
      </c>
      <c r="I83" s="2" t="s">
        <v>39</v>
      </c>
      <c r="J83" s="2">
        <v>19266.58</v>
      </c>
    </row>
    <row r="84">
      <c r="A84" s="2" t="s">
        <v>313</v>
      </c>
      <c r="B84" s="2" t="s">
        <v>314</v>
      </c>
      <c r="C84" s="2" t="s">
        <v>34</v>
      </c>
      <c r="D84" s="2" t="s">
        <v>31</v>
      </c>
      <c r="E84" s="2" t="s">
        <v>31</v>
      </c>
      <c r="F84" s="2" t="s">
        <v>31</v>
      </c>
      <c r="G84" s="6">
        <v>45592.0</v>
      </c>
      <c r="H84" s="2" t="s">
        <v>49</v>
      </c>
      <c r="I84" s="2" t="s">
        <v>39</v>
      </c>
      <c r="J84" s="2">
        <v>-18275.63</v>
      </c>
    </row>
    <row r="85">
      <c r="A85" s="2" t="s">
        <v>315</v>
      </c>
      <c r="B85" s="2" t="s">
        <v>316</v>
      </c>
      <c r="C85" s="2" t="s">
        <v>22</v>
      </c>
      <c r="D85" s="2" t="s">
        <v>85</v>
      </c>
      <c r="E85" s="2" t="s">
        <v>24</v>
      </c>
      <c r="F85" s="2" t="s">
        <v>111</v>
      </c>
      <c r="G85" s="6">
        <v>45566.0</v>
      </c>
      <c r="H85" s="2" t="s">
        <v>49</v>
      </c>
      <c r="I85" s="2" t="s">
        <v>39</v>
      </c>
      <c r="J85" s="2">
        <v>10631.4</v>
      </c>
    </row>
    <row r="86">
      <c r="A86" s="2" t="s">
        <v>317</v>
      </c>
      <c r="B86" s="2" t="s">
        <v>318</v>
      </c>
      <c r="C86" s="2" t="s">
        <v>34</v>
      </c>
      <c r="D86" s="2" t="s">
        <v>90</v>
      </c>
      <c r="E86" s="2" t="s">
        <v>114</v>
      </c>
      <c r="F86" s="2" t="s">
        <v>90</v>
      </c>
      <c r="G86" s="6">
        <v>45476.0</v>
      </c>
      <c r="H86" s="2" t="s">
        <v>58</v>
      </c>
      <c r="I86" s="2" t="s">
        <v>59</v>
      </c>
      <c r="J86" s="2">
        <v>8050.17</v>
      </c>
    </row>
    <row r="87">
      <c r="A87" s="2" t="s">
        <v>319</v>
      </c>
      <c r="B87" s="2" t="s">
        <v>320</v>
      </c>
      <c r="C87" s="2" t="s">
        <v>34</v>
      </c>
      <c r="D87" s="2" t="s">
        <v>31</v>
      </c>
      <c r="E87" s="2" t="s">
        <v>30</v>
      </c>
      <c r="F87" s="2" t="s">
        <v>31</v>
      </c>
      <c r="G87" s="6">
        <v>45348.0</v>
      </c>
      <c r="H87" s="2" t="s">
        <v>126</v>
      </c>
      <c r="I87" s="2" t="s">
        <v>29</v>
      </c>
      <c r="J87" s="2">
        <v>15849.2</v>
      </c>
    </row>
    <row r="88">
      <c r="A88" s="2" t="s">
        <v>322</v>
      </c>
      <c r="B88" s="2" t="s">
        <v>316</v>
      </c>
      <c r="C88" s="2" t="s">
        <v>22</v>
      </c>
      <c r="D88" s="2" t="s">
        <v>85</v>
      </c>
      <c r="E88" s="2" t="s">
        <v>97</v>
      </c>
      <c r="F88" s="2" t="s">
        <v>111</v>
      </c>
      <c r="G88" s="6">
        <v>45566.0</v>
      </c>
      <c r="H88" s="2" t="s">
        <v>49</v>
      </c>
      <c r="I88" s="2" t="s">
        <v>39</v>
      </c>
      <c r="J88" s="2">
        <v>19724.98</v>
      </c>
    </row>
    <row r="89">
      <c r="A89" s="2" t="s">
        <v>323</v>
      </c>
      <c r="B89" s="2" t="s">
        <v>324</v>
      </c>
      <c r="C89" s="2" t="s">
        <v>22</v>
      </c>
      <c r="D89" s="2" t="s">
        <v>85</v>
      </c>
      <c r="E89" s="2" t="s">
        <v>63</v>
      </c>
      <c r="F89" s="2" t="s">
        <v>111</v>
      </c>
      <c r="G89" s="6">
        <v>45464.0</v>
      </c>
      <c r="H89" s="2" t="s">
        <v>113</v>
      </c>
      <c r="I89" s="2" t="s">
        <v>67</v>
      </c>
      <c r="J89" s="2">
        <v>21169.37</v>
      </c>
    </row>
    <row r="90">
      <c r="A90" s="2" t="s">
        <v>325</v>
      </c>
      <c r="B90" s="2" t="s">
        <v>326</v>
      </c>
      <c r="C90" s="2" t="s">
        <v>34</v>
      </c>
      <c r="D90" s="2" t="s">
        <v>90</v>
      </c>
      <c r="E90" s="2" t="s">
        <v>104</v>
      </c>
      <c r="F90" s="2" t="s">
        <v>90</v>
      </c>
      <c r="G90" s="6">
        <v>45323.0</v>
      </c>
      <c r="H90" s="2" t="s">
        <v>126</v>
      </c>
      <c r="I90" s="2" t="s">
        <v>29</v>
      </c>
      <c r="J90" s="2">
        <v>17700.94</v>
      </c>
    </row>
    <row r="91">
      <c r="A91" s="2" t="s">
        <v>328</v>
      </c>
      <c r="B91" s="2" t="s">
        <v>329</v>
      </c>
      <c r="C91" s="2" t="s">
        <v>34</v>
      </c>
      <c r="D91" s="2" t="s">
        <v>90</v>
      </c>
      <c r="E91" s="2" t="s">
        <v>90</v>
      </c>
      <c r="F91" s="2" t="s">
        <v>90</v>
      </c>
      <c r="G91" s="6">
        <v>45506.0</v>
      </c>
      <c r="H91" s="2" t="s">
        <v>108</v>
      </c>
      <c r="I91" s="2" t="s">
        <v>59</v>
      </c>
      <c r="J91" s="2">
        <v>8503.75</v>
      </c>
    </row>
    <row r="92">
      <c r="A92" s="2" t="s">
        <v>331</v>
      </c>
      <c r="B92" s="2" t="s">
        <v>332</v>
      </c>
      <c r="C92" s="2" t="s">
        <v>34</v>
      </c>
      <c r="D92" s="2" t="s">
        <v>82</v>
      </c>
      <c r="E92" s="2" t="s">
        <v>94</v>
      </c>
      <c r="F92" s="2" t="s">
        <v>82</v>
      </c>
      <c r="G92" s="6">
        <v>45458.0</v>
      </c>
      <c r="H92" s="2" t="s">
        <v>113</v>
      </c>
      <c r="I92" s="2" t="s">
        <v>67</v>
      </c>
      <c r="J92" s="2">
        <v>23569.5</v>
      </c>
    </row>
    <row r="93">
      <c r="A93" s="2" t="s">
        <v>333</v>
      </c>
      <c r="B93" s="2" t="s">
        <v>334</v>
      </c>
      <c r="C93" s="2" t="s">
        <v>22</v>
      </c>
      <c r="D93" s="2" t="s">
        <v>62</v>
      </c>
      <c r="E93" s="2" t="s">
        <v>24</v>
      </c>
      <c r="F93" s="2" t="s">
        <v>111</v>
      </c>
      <c r="G93" s="6">
        <v>45529.0</v>
      </c>
      <c r="H93" s="2" t="s">
        <v>108</v>
      </c>
      <c r="I93" s="2" t="s">
        <v>59</v>
      </c>
      <c r="J93" s="2">
        <v>5011.51</v>
      </c>
    </row>
    <row r="94">
      <c r="A94" s="2" t="s">
        <v>336</v>
      </c>
      <c r="B94" s="2" t="s">
        <v>337</v>
      </c>
      <c r="C94" s="2" t="s">
        <v>34</v>
      </c>
      <c r="D94" s="2" t="s">
        <v>31</v>
      </c>
      <c r="E94" s="2" t="s">
        <v>77</v>
      </c>
      <c r="F94" s="2" t="s">
        <v>31</v>
      </c>
      <c r="G94" s="6">
        <v>45611.0</v>
      </c>
      <c r="H94" s="2" t="s">
        <v>142</v>
      </c>
      <c r="I94" s="2" t="s">
        <v>39</v>
      </c>
      <c r="J94" s="2">
        <v>33462.21</v>
      </c>
    </row>
    <row r="95">
      <c r="A95" s="2" t="s">
        <v>339</v>
      </c>
      <c r="B95" s="2" t="s">
        <v>340</v>
      </c>
      <c r="C95" s="2" t="s">
        <v>34</v>
      </c>
      <c r="D95" s="2" t="s">
        <v>54</v>
      </c>
      <c r="E95" s="2" t="s">
        <v>55</v>
      </c>
      <c r="F95" s="2" t="s">
        <v>54</v>
      </c>
      <c r="G95" s="6">
        <v>45564.0</v>
      </c>
      <c r="H95" s="2" t="s">
        <v>73</v>
      </c>
      <c r="I95" s="2" t="s">
        <v>59</v>
      </c>
      <c r="J95" s="2">
        <v>31653.81</v>
      </c>
    </row>
    <row r="96">
      <c r="A96" s="2" t="s">
        <v>341</v>
      </c>
      <c r="B96" s="2" t="s">
        <v>342</v>
      </c>
      <c r="C96" s="2" t="s">
        <v>34</v>
      </c>
      <c r="D96" s="2" t="s">
        <v>54</v>
      </c>
      <c r="E96" s="2" t="s">
        <v>55</v>
      </c>
      <c r="F96" s="2" t="s">
        <v>54</v>
      </c>
      <c r="G96" s="6">
        <v>45910.0</v>
      </c>
      <c r="H96" s="2" t="s">
        <v>73</v>
      </c>
      <c r="I96" s="2" t="s">
        <v>59</v>
      </c>
      <c r="J96" s="2">
        <v>50426.49</v>
      </c>
    </row>
    <row r="97">
      <c r="A97" s="2" t="s">
        <v>344</v>
      </c>
      <c r="B97" s="2" t="s">
        <v>345</v>
      </c>
      <c r="C97" s="2" t="s">
        <v>34</v>
      </c>
      <c r="D97" s="2" t="s">
        <v>54</v>
      </c>
      <c r="E97" s="2" t="s">
        <v>55</v>
      </c>
      <c r="F97" s="2" t="s">
        <v>54</v>
      </c>
      <c r="G97" s="6">
        <v>45410.0</v>
      </c>
      <c r="H97" s="2" t="s">
        <v>66</v>
      </c>
      <c r="I97" s="2" t="s">
        <v>67</v>
      </c>
      <c r="J97" s="2">
        <v>74351.66</v>
      </c>
    </row>
    <row r="98">
      <c r="A98" s="2" t="s">
        <v>347</v>
      </c>
      <c r="B98" s="2" t="s">
        <v>247</v>
      </c>
      <c r="C98" s="2" t="s">
        <v>34</v>
      </c>
      <c r="D98" s="2" t="s">
        <v>111</v>
      </c>
      <c r="E98" s="2" t="s">
        <v>97</v>
      </c>
      <c r="F98" s="2" t="s">
        <v>111</v>
      </c>
      <c r="G98" s="6">
        <v>45397.0</v>
      </c>
      <c r="H98" s="2" t="s">
        <v>66</v>
      </c>
      <c r="I98" s="2" t="s">
        <v>67</v>
      </c>
      <c r="J98" s="2">
        <v>28776.79</v>
      </c>
    </row>
    <row r="99">
      <c r="A99" s="2" t="s">
        <v>349</v>
      </c>
      <c r="B99" s="2" t="s">
        <v>350</v>
      </c>
      <c r="C99" s="2" t="s">
        <v>22</v>
      </c>
      <c r="D99" s="2" t="s">
        <v>85</v>
      </c>
      <c r="E99" s="2" t="s">
        <v>24</v>
      </c>
      <c r="F99" s="2" t="s">
        <v>111</v>
      </c>
      <c r="G99" s="6">
        <v>45407.0</v>
      </c>
      <c r="H99" s="2" t="s">
        <v>66</v>
      </c>
      <c r="I99" s="2" t="s">
        <v>67</v>
      </c>
      <c r="J99" s="2">
        <v>27844.39</v>
      </c>
    </row>
    <row r="100">
      <c r="A100" s="2" t="s">
        <v>351</v>
      </c>
      <c r="B100" s="2" t="s">
        <v>352</v>
      </c>
      <c r="C100" s="2" t="s">
        <v>34</v>
      </c>
      <c r="D100" s="2" t="s">
        <v>82</v>
      </c>
      <c r="E100" s="2" t="s">
        <v>81</v>
      </c>
      <c r="F100" s="2" t="s">
        <v>82</v>
      </c>
      <c r="G100" s="6">
        <v>45562.0</v>
      </c>
      <c r="H100" s="2" t="s">
        <v>73</v>
      </c>
      <c r="I100" s="2" t="s">
        <v>59</v>
      </c>
      <c r="J100" s="2">
        <v>27284.9</v>
      </c>
    </row>
    <row r="101">
      <c r="A101" s="2" t="s">
        <v>354</v>
      </c>
      <c r="B101" s="2" t="s">
        <v>355</v>
      </c>
      <c r="C101" s="2" t="s">
        <v>34</v>
      </c>
      <c r="D101" s="2" t="s">
        <v>54</v>
      </c>
      <c r="E101" s="2" t="s">
        <v>55</v>
      </c>
      <c r="F101" s="2" t="s">
        <v>54</v>
      </c>
      <c r="G101" s="6">
        <v>45565.0</v>
      </c>
      <c r="H101" s="2" t="s">
        <v>73</v>
      </c>
      <c r="I101" s="2" t="s">
        <v>59</v>
      </c>
      <c r="J101" s="2">
        <v>48436.88</v>
      </c>
    </row>
    <row r="102">
      <c r="A102" s="2" t="s">
        <v>357</v>
      </c>
      <c r="B102" s="2" t="s">
        <v>358</v>
      </c>
      <c r="C102" s="2" t="s">
        <v>22</v>
      </c>
      <c r="D102" s="2" t="s">
        <v>23</v>
      </c>
      <c r="E102" s="2" t="s">
        <v>111</v>
      </c>
      <c r="F102" s="2" t="s">
        <v>111</v>
      </c>
      <c r="G102" s="6">
        <v>45509.0</v>
      </c>
      <c r="H102" s="2" t="s">
        <v>108</v>
      </c>
      <c r="I102" s="2" t="s">
        <v>59</v>
      </c>
      <c r="J102" s="2">
        <v>93784.77</v>
      </c>
    </row>
    <row r="103">
      <c r="A103" s="2" t="s">
        <v>360</v>
      </c>
      <c r="B103" s="2" t="s">
        <v>361</v>
      </c>
      <c r="C103" s="2" t="s">
        <v>34</v>
      </c>
      <c r="D103" s="2" t="s">
        <v>90</v>
      </c>
      <c r="E103" s="2" t="s">
        <v>90</v>
      </c>
      <c r="F103" s="2" t="s">
        <v>90</v>
      </c>
      <c r="G103" s="6">
        <v>45394.0</v>
      </c>
      <c r="H103" s="2" t="s">
        <v>66</v>
      </c>
      <c r="I103" s="2" t="s">
        <v>67</v>
      </c>
      <c r="J103" s="2">
        <v>25943.25</v>
      </c>
    </row>
    <row r="104">
      <c r="A104" s="2" t="s">
        <v>363</v>
      </c>
      <c r="B104" s="2" t="s">
        <v>364</v>
      </c>
      <c r="C104" s="2" t="s">
        <v>34</v>
      </c>
      <c r="D104" s="2" t="s">
        <v>31</v>
      </c>
      <c r="E104" s="2" t="s">
        <v>145</v>
      </c>
      <c r="F104" s="2" t="s">
        <v>31</v>
      </c>
      <c r="G104" s="6">
        <v>45580.0</v>
      </c>
      <c r="H104" s="2" t="s">
        <v>49</v>
      </c>
      <c r="I104" s="2" t="s">
        <v>39</v>
      </c>
      <c r="J104" s="2">
        <v>0.0</v>
      </c>
    </row>
    <row r="105">
      <c r="A105" s="2" t="s">
        <v>366</v>
      </c>
      <c r="B105" s="2" t="s">
        <v>367</v>
      </c>
      <c r="C105" s="2" t="s">
        <v>34</v>
      </c>
      <c r="D105" s="2" t="s">
        <v>31</v>
      </c>
      <c r="E105" s="2" t="s">
        <v>31</v>
      </c>
      <c r="F105" s="2" t="s">
        <v>31</v>
      </c>
      <c r="G105" s="6">
        <v>45425.0</v>
      </c>
      <c r="H105" s="2" t="s">
        <v>87</v>
      </c>
      <c r="I105" s="2" t="s">
        <v>67</v>
      </c>
      <c r="J105" s="2">
        <v>13083.66</v>
      </c>
    </row>
    <row r="106">
      <c r="A106" s="2" t="s">
        <v>368</v>
      </c>
      <c r="B106" s="2" t="s">
        <v>369</v>
      </c>
      <c r="C106" s="2" t="s">
        <v>22</v>
      </c>
      <c r="D106" s="2" t="s">
        <v>62</v>
      </c>
      <c r="E106" s="2" t="s">
        <v>97</v>
      </c>
      <c r="F106" s="2" t="s">
        <v>111</v>
      </c>
      <c r="G106" s="6">
        <v>45498.0</v>
      </c>
      <c r="H106" s="2" t="s">
        <v>58</v>
      </c>
      <c r="I106" s="2" t="s">
        <v>59</v>
      </c>
      <c r="J106" s="2">
        <v>7716.39</v>
      </c>
    </row>
    <row r="107">
      <c r="A107" s="2" t="s">
        <v>371</v>
      </c>
      <c r="B107" s="2" t="s">
        <v>372</v>
      </c>
      <c r="C107" s="2" t="s">
        <v>22</v>
      </c>
      <c r="D107" s="2" t="s">
        <v>62</v>
      </c>
      <c r="E107" s="2" t="s">
        <v>111</v>
      </c>
      <c r="F107" s="2" t="s">
        <v>111</v>
      </c>
      <c r="G107" s="6">
        <v>45533.0</v>
      </c>
      <c r="H107" s="2" t="s">
        <v>108</v>
      </c>
      <c r="I107" s="2" t="s">
        <v>59</v>
      </c>
      <c r="J107" s="2">
        <v>8210.02</v>
      </c>
    </row>
    <row r="108">
      <c r="A108" s="2" t="s">
        <v>373</v>
      </c>
      <c r="B108" s="2" t="s">
        <v>374</v>
      </c>
      <c r="C108" s="2" t="s">
        <v>22</v>
      </c>
      <c r="D108" s="2" t="s">
        <v>62</v>
      </c>
      <c r="E108" s="2" t="s">
        <v>97</v>
      </c>
      <c r="F108" s="2" t="s">
        <v>111</v>
      </c>
      <c r="G108" s="6">
        <v>45422.0</v>
      </c>
      <c r="H108" s="2" t="s">
        <v>87</v>
      </c>
      <c r="I108" s="2" t="s">
        <v>67</v>
      </c>
      <c r="J108" s="2">
        <v>16270.3</v>
      </c>
    </row>
    <row r="109">
      <c r="A109" s="2" t="s">
        <v>375</v>
      </c>
      <c r="B109" s="2" t="s">
        <v>376</v>
      </c>
      <c r="C109" s="2" t="s">
        <v>34</v>
      </c>
      <c r="D109" s="2" t="s">
        <v>54</v>
      </c>
      <c r="E109" s="2" t="s">
        <v>130</v>
      </c>
      <c r="F109" s="2" t="s">
        <v>54</v>
      </c>
      <c r="G109" s="6">
        <v>45538.0</v>
      </c>
      <c r="H109" s="2" t="s">
        <v>73</v>
      </c>
      <c r="I109" s="2" t="s">
        <v>59</v>
      </c>
      <c r="J109" s="2">
        <v>51183.7</v>
      </c>
    </row>
    <row r="110">
      <c r="A110" s="2" t="s">
        <v>378</v>
      </c>
      <c r="B110" s="2" t="s">
        <v>379</v>
      </c>
      <c r="C110" s="2" t="s">
        <v>34</v>
      </c>
      <c r="D110" s="2" t="s">
        <v>90</v>
      </c>
      <c r="E110" s="2" t="s">
        <v>114</v>
      </c>
      <c r="F110" s="2" t="s">
        <v>90</v>
      </c>
      <c r="G110" s="6">
        <v>45658.0</v>
      </c>
      <c r="H110" s="2" t="s">
        <v>28</v>
      </c>
      <c r="I110" s="2" t="s">
        <v>29</v>
      </c>
      <c r="J110" s="2">
        <v>27241.24</v>
      </c>
    </row>
    <row r="111">
      <c r="A111" s="2" t="s">
        <v>381</v>
      </c>
      <c r="B111" s="2" t="s">
        <v>332</v>
      </c>
      <c r="C111" s="2" t="s">
        <v>22</v>
      </c>
      <c r="D111" s="2" t="s">
        <v>23</v>
      </c>
      <c r="E111" s="2" t="s">
        <v>111</v>
      </c>
      <c r="F111" s="2" t="s">
        <v>111</v>
      </c>
      <c r="G111" s="6">
        <v>45458.0</v>
      </c>
      <c r="H111" s="2" t="s">
        <v>113</v>
      </c>
      <c r="I111" s="2" t="s">
        <v>67</v>
      </c>
      <c r="J111" s="2">
        <v>112263.8</v>
      </c>
    </row>
    <row r="112">
      <c r="A112" s="2" t="s">
        <v>382</v>
      </c>
      <c r="B112" s="2" t="s">
        <v>383</v>
      </c>
      <c r="C112" s="2" t="s">
        <v>34</v>
      </c>
      <c r="D112" s="2" t="s">
        <v>51</v>
      </c>
      <c r="E112" s="2" t="s">
        <v>50</v>
      </c>
      <c r="F112" s="2" t="s">
        <v>51</v>
      </c>
      <c r="G112" s="6">
        <v>45622.0</v>
      </c>
      <c r="H112" s="2" t="s">
        <v>142</v>
      </c>
      <c r="I112" s="2" t="s">
        <v>39</v>
      </c>
      <c r="J112" s="2">
        <v>14226.91</v>
      </c>
    </row>
    <row r="113">
      <c r="A113" s="2" t="s">
        <v>385</v>
      </c>
      <c r="B113" s="2" t="s">
        <v>386</v>
      </c>
      <c r="C113" s="2" t="s">
        <v>34</v>
      </c>
      <c r="D113" s="2" t="s">
        <v>90</v>
      </c>
      <c r="E113" s="2" t="s">
        <v>104</v>
      </c>
      <c r="F113" s="2" t="s">
        <v>90</v>
      </c>
      <c r="G113" s="6">
        <v>45538.0</v>
      </c>
      <c r="H113" s="2" t="s">
        <v>73</v>
      </c>
      <c r="I113" s="2" t="s">
        <v>59</v>
      </c>
      <c r="J113" s="2">
        <v>17504.65</v>
      </c>
    </row>
    <row r="114">
      <c r="A114" s="2" t="s">
        <v>388</v>
      </c>
      <c r="B114" s="2" t="s">
        <v>389</v>
      </c>
      <c r="C114" s="2" t="s">
        <v>34</v>
      </c>
      <c r="D114" s="2" t="s">
        <v>54</v>
      </c>
      <c r="E114" s="2" t="s">
        <v>124</v>
      </c>
      <c r="F114" s="2" t="s">
        <v>54</v>
      </c>
      <c r="G114" s="6">
        <v>45348.0</v>
      </c>
      <c r="H114" s="2" t="s">
        <v>126</v>
      </c>
      <c r="I114" s="2" t="s">
        <v>29</v>
      </c>
      <c r="J114" s="2">
        <v>66012.94</v>
      </c>
    </row>
    <row r="115">
      <c r="A115" s="2" t="s">
        <v>391</v>
      </c>
      <c r="B115" s="2" t="s">
        <v>392</v>
      </c>
      <c r="C115" s="2" t="s">
        <v>34</v>
      </c>
      <c r="D115" s="2" t="s">
        <v>31</v>
      </c>
      <c r="E115" s="2" t="s">
        <v>30</v>
      </c>
      <c r="F115" s="2" t="s">
        <v>31</v>
      </c>
      <c r="G115" s="6">
        <v>45466.0</v>
      </c>
      <c r="H115" s="2" t="s">
        <v>113</v>
      </c>
      <c r="I115" s="2" t="s">
        <v>67</v>
      </c>
      <c r="J115" s="2">
        <v>42965.82</v>
      </c>
    </row>
    <row r="116">
      <c r="A116" s="2" t="s">
        <v>395</v>
      </c>
      <c r="B116" s="2" t="s">
        <v>396</v>
      </c>
      <c r="C116" s="2" t="s">
        <v>34</v>
      </c>
      <c r="D116" s="2" t="s">
        <v>54</v>
      </c>
      <c r="E116" s="2" t="s">
        <v>54</v>
      </c>
      <c r="F116" s="2" t="s">
        <v>54</v>
      </c>
      <c r="G116" s="6">
        <v>45636.0</v>
      </c>
      <c r="H116" s="2" t="s">
        <v>38</v>
      </c>
      <c r="I116" s="2" t="s">
        <v>39</v>
      </c>
      <c r="J116" s="2">
        <v>24325.17</v>
      </c>
    </row>
    <row r="117">
      <c r="A117" s="2" t="s">
        <v>398</v>
      </c>
      <c r="B117" s="2" t="s">
        <v>399</v>
      </c>
      <c r="C117" s="2" t="s">
        <v>34</v>
      </c>
      <c r="D117" s="2" t="s">
        <v>82</v>
      </c>
      <c r="E117" s="2" t="s">
        <v>82</v>
      </c>
      <c r="F117" s="2" t="s">
        <v>82</v>
      </c>
      <c r="G117" s="6">
        <v>45421.0</v>
      </c>
      <c r="H117" s="2" t="s">
        <v>87</v>
      </c>
      <c r="I117" s="2" t="s">
        <v>67</v>
      </c>
      <c r="J117" s="2">
        <v>23086.45</v>
      </c>
    </row>
    <row r="118">
      <c r="A118" s="2" t="s">
        <v>400</v>
      </c>
      <c r="B118" s="2" t="s">
        <v>337</v>
      </c>
      <c r="C118" s="2" t="s">
        <v>34</v>
      </c>
      <c r="D118" s="2" t="s">
        <v>82</v>
      </c>
      <c r="E118" s="2" t="s">
        <v>82</v>
      </c>
      <c r="F118" s="2" t="s">
        <v>82</v>
      </c>
      <c r="G118" s="6">
        <v>45611.0</v>
      </c>
      <c r="H118" s="2" t="s">
        <v>142</v>
      </c>
      <c r="I118" s="2" t="s">
        <v>39</v>
      </c>
      <c r="J118" s="2">
        <v>27890.57</v>
      </c>
    </row>
    <row r="119">
      <c r="A119" s="2" t="s">
        <v>402</v>
      </c>
      <c r="B119" s="2" t="s">
        <v>403</v>
      </c>
      <c r="C119" s="2" t="s">
        <v>22</v>
      </c>
      <c r="D119" s="2" t="s">
        <v>85</v>
      </c>
      <c r="E119" s="2" t="s">
        <v>111</v>
      </c>
      <c r="F119" s="2" t="s">
        <v>111</v>
      </c>
      <c r="G119" s="6">
        <v>45643.0</v>
      </c>
      <c r="H119" s="2" t="s">
        <v>38</v>
      </c>
      <c r="I119" s="2" t="s">
        <v>39</v>
      </c>
      <c r="J119" s="2">
        <v>40450.51</v>
      </c>
    </row>
    <row r="120">
      <c r="A120" s="2" t="s">
        <v>404</v>
      </c>
      <c r="B120" s="2" t="s">
        <v>405</v>
      </c>
      <c r="C120" s="2" t="s">
        <v>22</v>
      </c>
      <c r="D120" s="2" t="s">
        <v>85</v>
      </c>
      <c r="E120" s="2" t="s">
        <v>24</v>
      </c>
      <c r="F120" s="2" t="s">
        <v>111</v>
      </c>
      <c r="G120" s="6">
        <v>45597.0</v>
      </c>
      <c r="H120" s="2" t="s">
        <v>142</v>
      </c>
      <c r="I120" s="2" t="s">
        <v>39</v>
      </c>
      <c r="J120" s="2">
        <v>24554.33</v>
      </c>
    </row>
    <row r="121">
      <c r="A121" s="2" t="s">
        <v>406</v>
      </c>
      <c r="B121" s="2" t="s">
        <v>407</v>
      </c>
      <c r="C121" s="2" t="s">
        <v>22</v>
      </c>
      <c r="D121" s="2" t="s">
        <v>85</v>
      </c>
      <c r="E121" s="2" t="s">
        <v>97</v>
      </c>
      <c r="F121" s="2" t="s">
        <v>111</v>
      </c>
      <c r="G121" s="6">
        <v>45582.0</v>
      </c>
      <c r="H121" s="2" t="s">
        <v>49</v>
      </c>
      <c r="I121" s="2" t="s">
        <v>39</v>
      </c>
      <c r="J121" s="2">
        <v>61367.77</v>
      </c>
    </row>
    <row r="122">
      <c r="A122" s="2" t="s">
        <v>408</v>
      </c>
      <c r="B122" s="2" t="s">
        <v>409</v>
      </c>
      <c r="C122" s="2" t="s">
        <v>34</v>
      </c>
      <c r="D122" s="2" t="s">
        <v>82</v>
      </c>
      <c r="E122" s="2" t="s">
        <v>94</v>
      </c>
      <c r="F122" s="2" t="s">
        <v>82</v>
      </c>
      <c r="G122" s="6">
        <v>45624.0</v>
      </c>
      <c r="H122" s="2" t="s">
        <v>142</v>
      </c>
      <c r="I122" s="2" t="s">
        <v>39</v>
      </c>
      <c r="J122" s="2">
        <v>82144.32</v>
      </c>
    </row>
    <row r="123">
      <c r="A123" s="2" t="s">
        <v>411</v>
      </c>
      <c r="B123" s="2" t="s">
        <v>311</v>
      </c>
      <c r="C123" s="2" t="s">
        <v>22</v>
      </c>
      <c r="D123" s="2" t="s">
        <v>62</v>
      </c>
      <c r="E123" s="2" t="s">
        <v>111</v>
      </c>
      <c r="F123" s="2" t="s">
        <v>111</v>
      </c>
      <c r="G123" s="6">
        <v>45580.0</v>
      </c>
      <c r="H123" s="2" t="s">
        <v>49</v>
      </c>
      <c r="I123" s="2" t="s">
        <v>39</v>
      </c>
      <c r="J123" s="2">
        <v>7752.2</v>
      </c>
    </row>
    <row r="124">
      <c r="A124" s="2" t="s">
        <v>412</v>
      </c>
      <c r="B124" s="2" t="s">
        <v>413</v>
      </c>
      <c r="C124" s="2" t="s">
        <v>34</v>
      </c>
      <c r="D124" s="2" t="s">
        <v>111</v>
      </c>
      <c r="E124" s="2" t="s">
        <v>111</v>
      </c>
      <c r="F124" s="2" t="s">
        <v>111</v>
      </c>
      <c r="G124" s="6">
        <v>45413.0</v>
      </c>
      <c r="H124" s="2" t="s">
        <v>87</v>
      </c>
      <c r="I124" s="2" t="s">
        <v>67</v>
      </c>
      <c r="J124" s="2">
        <v>-22593.71</v>
      </c>
    </row>
    <row r="125">
      <c r="A125" s="2" t="s">
        <v>414</v>
      </c>
      <c r="B125" s="2" t="s">
        <v>415</v>
      </c>
      <c r="C125" s="2" t="s">
        <v>22</v>
      </c>
      <c r="D125" s="2" t="s">
        <v>62</v>
      </c>
      <c r="E125" s="2" t="s">
        <v>97</v>
      </c>
      <c r="F125" s="2" t="s">
        <v>111</v>
      </c>
      <c r="G125" s="6">
        <v>45344.0</v>
      </c>
      <c r="H125" s="2" t="s">
        <v>126</v>
      </c>
      <c r="I125" s="2" t="s">
        <v>29</v>
      </c>
      <c r="J125" s="2">
        <v>11975.67</v>
      </c>
    </row>
    <row r="126">
      <c r="A126" s="2" t="s">
        <v>416</v>
      </c>
      <c r="B126" s="2" t="s">
        <v>417</v>
      </c>
      <c r="C126" s="2" t="s">
        <v>34</v>
      </c>
      <c r="D126" s="2" t="s">
        <v>82</v>
      </c>
      <c r="E126" s="2" t="s">
        <v>418</v>
      </c>
      <c r="F126" s="2" t="s">
        <v>82</v>
      </c>
      <c r="G126" s="6">
        <v>45451.0</v>
      </c>
      <c r="H126" s="2" t="s">
        <v>113</v>
      </c>
      <c r="I126" s="2" t="s">
        <v>67</v>
      </c>
      <c r="J126" s="2">
        <v>53758.28</v>
      </c>
    </row>
    <row r="127">
      <c r="A127" s="2" t="s">
        <v>419</v>
      </c>
      <c r="B127" s="2" t="s">
        <v>420</v>
      </c>
      <c r="C127" s="2" t="s">
        <v>22</v>
      </c>
      <c r="D127" s="2" t="s">
        <v>23</v>
      </c>
      <c r="E127" s="2" t="s">
        <v>97</v>
      </c>
      <c r="F127" s="2" t="s">
        <v>111</v>
      </c>
      <c r="G127" s="6">
        <v>45366.0</v>
      </c>
      <c r="H127" s="2" t="s">
        <v>44</v>
      </c>
      <c r="I127" s="2" t="s">
        <v>29</v>
      </c>
      <c r="J127" s="2">
        <v>146162.64</v>
      </c>
    </row>
    <row r="128">
      <c r="A128" s="2" t="s">
        <v>421</v>
      </c>
      <c r="B128" s="2" t="s">
        <v>132</v>
      </c>
      <c r="C128" s="2" t="s">
        <v>34</v>
      </c>
      <c r="D128" s="2" t="s">
        <v>51</v>
      </c>
      <c r="E128" s="2" t="s">
        <v>51</v>
      </c>
      <c r="F128" s="2" t="s">
        <v>51</v>
      </c>
      <c r="G128" s="6">
        <v>45499.0</v>
      </c>
      <c r="H128" s="2" t="s">
        <v>58</v>
      </c>
      <c r="I128" s="2" t="s">
        <v>59</v>
      </c>
      <c r="J128" s="2">
        <v>8788.04</v>
      </c>
    </row>
    <row r="129">
      <c r="A129" s="2" t="s">
        <v>422</v>
      </c>
      <c r="B129" s="2" t="s">
        <v>423</v>
      </c>
      <c r="C129" s="2" t="s">
        <v>34</v>
      </c>
      <c r="D129" s="2" t="s">
        <v>31</v>
      </c>
      <c r="E129" s="2" t="s">
        <v>145</v>
      </c>
      <c r="F129" s="2" t="s">
        <v>31</v>
      </c>
      <c r="G129" s="6">
        <v>45520.0</v>
      </c>
      <c r="H129" s="2" t="s">
        <v>108</v>
      </c>
      <c r="I129" s="2" t="s">
        <v>59</v>
      </c>
      <c r="J129" s="2">
        <v>23493.755400000002</v>
      </c>
    </row>
    <row r="130">
      <c r="A130" s="2" t="s">
        <v>424</v>
      </c>
      <c r="B130" s="2" t="s">
        <v>425</v>
      </c>
      <c r="C130" s="2" t="s">
        <v>34</v>
      </c>
      <c r="D130" s="2" t="s">
        <v>51</v>
      </c>
      <c r="E130" s="2" t="s">
        <v>68</v>
      </c>
      <c r="F130" s="2" t="s">
        <v>51</v>
      </c>
      <c r="G130" s="6">
        <v>45759.0</v>
      </c>
      <c r="H130" s="2" t="s">
        <v>66</v>
      </c>
      <c r="I130" s="2" t="s">
        <v>67</v>
      </c>
      <c r="J130" s="2">
        <v>20443.93</v>
      </c>
    </row>
    <row r="131">
      <c r="A131" s="2" t="s">
        <v>427</v>
      </c>
      <c r="B131" s="2" t="s">
        <v>428</v>
      </c>
      <c r="C131" s="2" t="s">
        <v>22</v>
      </c>
      <c r="D131" s="2" t="s">
        <v>23</v>
      </c>
      <c r="E131" s="2" t="s">
        <v>97</v>
      </c>
      <c r="F131" s="2" t="s">
        <v>111</v>
      </c>
      <c r="G131" s="6">
        <v>45410.0</v>
      </c>
      <c r="H131" s="2" t="s">
        <v>66</v>
      </c>
      <c r="I131" s="2" t="s">
        <v>67</v>
      </c>
      <c r="J131" s="2">
        <v>108984.86</v>
      </c>
    </row>
    <row r="132">
      <c r="A132" s="2" t="s">
        <v>430</v>
      </c>
      <c r="B132" s="2" t="s">
        <v>431</v>
      </c>
      <c r="C132" s="2" t="s">
        <v>34</v>
      </c>
      <c r="D132" s="2" t="s">
        <v>54</v>
      </c>
      <c r="E132" s="2" t="s">
        <v>54</v>
      </c>
      <c r="F132" s="2" t="s">
        <v>54</v>
      </c>
      <c r="G132" s="6">
        <v>45591.0</v>
      </c>
      <c r="H132" s="2" t="s">
        <v>49</v>
      </c>
      <c r="I132" s="2" t="s">
        <v>39</v>
      </c>
      <c r="J132" s="2">
        <v>32649.83</v>
      </c>
    </row>
    <row r="133">
      <c r="A133" s="2" t="s">
        <v>433</v>
      </c>
      <c r="B133" s="2" t="s">
        <v>389</v>
      </c>
      <c r="C133" s="2" t="s">
        <v>34</v>
      </c>
      <c r="D133" s="2" t="s">
        <v>31</v>
      </c>
      <c r="E133" s="2" t="s">
        <v>145</v>
      </c>
      <c r="F133" s="2" t="s">
        <v>31</v>
      </c>
      <c r="G133" s="6">
        <v>45348.0</v>
      </c>
      <c r="H133" s="2" t="s">
        <v>126</v>
      </c>
      <c r="I133" s="2" t="s">
        <v>29</v>
      </c>
      <c r="J133" s="2">
        <v>23296.77</v>
      </c>
    </row>
    <row r="134">
      <c r="A134" s="2" t="s">
        <v>434</v>
      </c>
      <c r="B134" s="2" t="s">
        <v>435</v>
      </c>
      <c r="C134" s="2" t="s">
        <v>34</v>
      </c>
      <c r="D134" s="2" t="s">
        <v>90</v>
      </c>
      <c r="E134" s="2" t="s">
        <v>114</v>
      </c>
      <c r="F134" s="2" t="s">
        <v>90</v>
      </c>
      <c r="G134" s="6">
        <v>45531.0</v>
      </c>
      <c r="H134" s="2" t="s">
        <v>108</v>
      </c>
      <c r="I134" s="2" t="s">
        <v>59</v>
      </c>
      <c r="J134" s="2">
        <v>9573.22</v>
      </c>
    </row>
    <row r="135">
      <c r="A135" s="2" t="s">
        <v>437</v>
      </c>
      <c r="B135" s="2" t="s">
        <v>438</v>
      </c>
      <c r="C135" s="2" t="s">
        <v>34</v>
      </c>
      <c r="D135" s="2" t="s">
        <v>111</v>
      </c>
      <c r="E135" s="2" t="s">
        <v>63</v>
      </c>
      <c r="F135" s="2" t="s">
        <v>111</v>
      </c>
      <c r="G135" s="6">
        <v>45524.0</v>
      </c>
      <c r="H135" s="2" t="s">
        <v>108</v>
      </c>
      <c r="I135" s="2" t="s">
        <v>59</v>
      </c>
      <c r="J135" s="2">
        <v>16529.11</v>
      </c>
    </row>
    <row r="136">
      <c r="A136" s="2" t="s">
        <v>439</v>
      </c>
      <c r="B136" s="2" t="s">
        <v>440</v>
      </c>
      <c r="C136" s="2" t="s">
        <v>34</v>
      </c>
      <c r="D136" s="2" t="s">
        <v>54</v>
      </c>
      <c r="E136" s="2" t="s">
        <v>55</v>
      </c>
      <c r="F136" s="2" t="s">
        <v>54</v>
      </c>
      <c r="G136" s="6">
        <v>45602.0</v>
      </c>
      <c r="H136" s="2" t="s">
        <v>142</v>
      </c>
      <c r="I136" s="2" t="s">
        <v>39</v>
      </c>
      <c r="J136" s="2">
        <v>40701.75</v>
      </c>
    </row>
    <row r="137">
      <c r="A137" s="2" t="s">
        <v>442</v>
      </c>
      <c r="B137" s="2" t="s">
        <v>443</v>
      </c>
      <c r="C137" s="2" t="s">
        <v>34</v>
      </c>
      <c r="D137" s="2" t="s">
        <v>31</v>
      </c>
      <c r="E137" s="2" t="s">
        <v>145</v>
      </c>
      <c r="F137" s="2" t="s">
        <v>31</v>
      </c>
      <c r="G137" s="6">
        <v>45337.0</v>
      </c>
      <c r="H137" s="2" t="s">
        <v>126</v>
      </c>
      <c r="I137" s="2" t="s">
        <v>29</v>
      </c>
      <c r="J137" s="2">
        <v>27758.72</v>
      </c>
    </row>
    <row r="138">
      <c r="A138" s="2" t="s">
        <v>445</v>
      </c>
      <c r="B138" s="2" t="s">
        <v>106</v>
      </c>
      <c r="C138" s="2" t="s">
        <v>34</v>
      </c>
      <c r="D138" s="2" t="s">
        <v>111</v>
      </c>
      <c r="E138" s="2" t="s">
        <v>63</v>
      </c>
      <c r="F138" s="2" t="s">
        <v>111</v>
      </c>
      <c r="G138" s="6">
        <v>45519.0</v>
      </c>
      <c r="H138" s="2" t="s">
        <v>108</v>
      </c>
      <c r="I138" s="2" t="s">
        <v>59</v>
      </c>
      <c r="J138" s="2">
        <v>28424.39</v>
      </c>
    </row>
    <row r="139">
      <c r="A139" s="2" t="s">
        <v>447</v>
      </c>
      <c r="B139" s="2" t="s">
        <v>239</v>
      </c>
      <c r="C139" s="2" t="s">
        <v>34</v>
      </c>
      <c r="D139" s="2" t="s">
        <v>111</v>
      </c>
      <c r="E139" s="2" t="s">
        <v>24</v>
      </c>
      <c r="F139" s="2" t="s">
        <v>111</v>
      </c>
      <c r="G139" s="6">
        <v>45641.0</v>
      </c>
      <c r="H139" s="2" t="s">
        <v>38</v>
      </c>
      <c r="I139" s="2" t="s">
        <v>39</v>
      </c>
      <c r="J139" s="2">
        <v>-3754.08</v>
      </c>
    </row>
    <row r="140">
      <c r="A140" s="2" t="s">
        <v>449</v>
      </c>
      <c r="B140" s="2" t="s">
        <v>450</v>
      </c>
      <c r="C140" s="2" t="s">
        <v>34</v>
      </c>
      <c r="D140" s="2" t="s">
        <v>90</v>
      </c>
      <c r="E140" s="2" t="s">
        <v>104</v>
      </c>
      <c r="F140" s="2" t="s">
        <v>90</v>
      </c>
      <c r="G140" s="6">
        <v>45585.0</v>
      </c>
      <c r="H140" s="2" t="s">
        <v>49</v>
      </c>
      <c r="I140" s="2" t="s">
        <v>39</v>
      </c>
      <c r="J140" s="2">
        <v>8037.67</v>
      </c>
    </row>
    <row r="141">
      <c r="A141" s="2" t="s">
        <v>451</v>
      </c>
      <c r="B141" s="2" t="s">
        <v>452</v>
      </c>
      <c r="C141" s="2" t="s">
        <v>34</v>
      </c>
      <c r="D141" s="2" t="s">
        <v>54</v>
      </c>
      <c r="E141" s="2" t="s">
        <v>55</v>
      </c>
      <c r="F141" s="2" t="s">
        <v>54</v>
      </c>
      <c r="G141" s="6">
        <v>45723.0</v>
      </c>
      <c r="H141" s="2" t="s">
        <v>44</v>
      </c>
      <c r="I141" s="2" t="s">
        <v>29</v>
      </c>
      <c r="J141" s="2">
        <v>60051.84</v>
      </c>
    </row>
    <row r="142">
      <c r="A142" s="2" t="s">
        <v>454</v>
      </c>
      <c r="B142" s="2" t="s">
        <v>455</v>
      </c>
      <c r="C142" s="2" t="s">
        <v>22</v>
      </c>
      <c r="D142" s="2" t="s">
        <v>85</v>
      </c>
      <c r="E142" s="2" t="s">
        <v>63</v>
      </c>
      <c r="F142" s="2" t="s">
        <v>111</v>
      </c>
      <c r="G142" s="6">
        <v>45535.0</v>
      </c>
      <c r="H142" s="2" t="s">
        <v>108</v>
      </c>
      <c r="I142" s="2" t="s">
        <v>59</v>
      </c>
      <c r="J142" s="2">
        <v>13427.73</v>
      </c>
    </row>
    <row r="143">
      <c r="A143" s="2" t="s">
        <v>456</v>
      </c>
      <c r="B143" s="2" t="s">
        <v>457</v>
      </c>
      <c r="C143" s="2" t="s">
        <v>22</v>
      </c>
      <c r="D143" s="2" t="s">
        <v>85</v>
      </c>
      <c r="E143" s="2" t="s">
        <v>111</v>
      </c>
      <c r="F143" s="2" t="s">
        <v>111</v>
      </c>
      <c r="G143" s="6">
        <v>45501.0</v>
      </c>
      <c r="H143" s="2" t="s">
        <v>58</v>
      </c>
      <c r="I143" s="2" t="s">
        <v>59</v>
      </c>
      <c r="J143" s="2">
        <v>20676.68</v>
      </c>
    </row>
    <row r="144">
      <c r="A144" s="2" t="s">
        <v>458</v>
      </c>
      <c r="B144" s="2" t="s">
        <v>459</v>
      </c>
      <c r="C144" s="2" t="s">
        <v>34</v>
      </c>
      <c r="D144" s="2" t="s">
        <v>90</v>
      </c>
      <c r="E144" s="2" t="s">
        <v>104</v>
      </c>
      <c r="F144" s="2" t="s">
        <v>90</v>
      </c>
      <c r="G144" s="6">
        <v>45783.0</v>
      </c>
      <c r="H144" s="2" t="s">
        <v>87</v>
      </c>
      <c r="I144" s="2" t="s">
        <v>67</v>
      </c>
      <c r="J144" s="2">
        <v>12140.08</v>
      </c>
    </row>
    <row r="145">
      <c r="A145" s="2" t="s">
        <v>460</v>
      </c>
      <c r="B145" s="2" t="s">
        <v>461</v>
      </c>
      <c r="C145" s="2" t="s">
        <v>34</v>
      </c>
      <c r="D145" s="2" t="s">
        <v>82</v>
      </c>
      <c r="E145" s="2" t="s">
        <v>94</v>
      </c>
      <c r="F145" s="2" t="s">
        <v>82</v>
      </c>
      <c r="G145" s="6">
        <v>45468.0</v>
      </c>
      <c r="H145" s="2" t="s">
        <v>113</v>
      </c>
      <c r="I145" s="2" t="s">
        <v>67</v>
      </c>
      <c r="J145" s="2">
        <v>17008.34</v>
      </c>
    </row>
    <row r="146">
      <c r="A146" s="2" t="s">
        <v>463</v>
      </c>
      <c r="B146" s="2" t="s">
        <v>464</v>
      </c>
      <c r="C146" s="2" t="s">
        <v>34</v>
      </c>
      <c r="D146" s="2" t="s">
        <v>31</v>
      </c>
      <c r="E146" s="2" t="s">
        <v>77</v>
      </c>
      <c r="F146" s="2" t="s">
        <v>31</v>
      </c>
      <c r="G146" s="6">
        <v>45553.0</v>
      </c>
      <c r="H146" s="2" t="s">
        <v>73</v>
      </c>
      <c r="I146" s="2" t="s">
        <v>59</v>
      </c>
      <c r="J146" s="2">
        <v>29871.54</v>
      </c>
    </row>
    <row r="147">
      <c r="A147" s="2" t="s">
        <v>465</v>
      </c>
      <c r="B147" s="2" t="s">
        <v>466</v>
      </c>
      <c r="C147" s="2" t="s">
        <v>34</v>
      </c>
      <c r="D147" s="2" t="s">
        <v>111</v>
      </c>
      <c r="E147" s="2" t="s">
        <v>63</v>
      </c>
      <c r="F147" s="2" t="s">
        <v>111</v>
      </c>
      <c r="G147" s="6">
        <v>45610.0</v>
      </c>
      <c r="H147" s="2" t="s">
        <v>142</v>
      </c>
      <c r="I147" s="2" t="s">
        <v>39</v>
      </c>
      <c r="J147" s="2">
        <v>13107.62</v>
      </c>
    </row>
    <row r="148">
      <c r="A148" s="2" t="s">
        <v>467</v>
      </c>
      <c r="B148" s="2" t="s">
        <v>468</v>
      </c>
      <c r="C148" s="2" t="s">
        <v>22</v>
      </c>
      <c r="D148" s="2" t="s">
        <v>23</v>
      </c>
      <c r="E148" s="2" t="s">
        <v>97</v>
      </c>
      <c r="F148" s="2" t="s">
        <v>111</v>
      </c>
      <c r="G148" s="6">
        <v>45545.0</v>
      </c>
      <c r="H148" s="2" t="s">
        <v>73</v>
      </c>
      <c r="I148" s="2" t="s">
        <v>59</v>
      </c>
      <c r="J148" s="2">
        <v>136078.17</v>
      </c>
    </row>
    <row r="149">
      <c r="A149" s="2" t="s">
        <v>469</v>
      </c>
      <c r="B149" s="2" t="s">
        <v>470</v>
      </c>
      <c r="C149" s="2" t="s">
        <v>34</v>
      </c>
      <c r="D149" s="2" t="s">
        <v>54</v>
      </c>
      <c r="E149" s="2" t="s">
        <v>196</v>
      </c>
      <c r="F149" s="2" t="s">
        <v>54</v>
      </c>
      <c r="G149" s="6">
        <v>45517.0</v>
      </c>
      <c r="H149" s="2" t="s">
        <v>108</v>
      </c>
      <c r="I149" s="2" t="s">
        <v>59</v>
      </c>
      <c r="J149" s="2">
        <v>53762.71</v>
      </c>
    </row>
    <row r="150">
      <c r="A150" s="2" t="s">
        <v>471</v>
      </c>
      <c r="B150" s="2" t="s">
        <v>163</v>
      </c>
      <c r="C150" s="2" t="s">
        <v>22</v>
      </c>
      <c r="D150" s="2" t="s">
        <v>23</v>
      </c>
      <c r="E150" s="2" t="s">
        <v>63</v>
      </c>
      <c r="F150" s="2" t="s">
        <v>111</v>
      </c>
      <c r="G150" s="6">
        <v>45327.0</v>
      </c>
      <c r="H150" s="2" t="s">
        <v>126</v>
      </c>
      <c r="I150" s="2" t="s">
        <v>29</v>
      </c>
      <c r="J150" s="2">
        <v>112888.9</v>
      </c>
    </row>
    <row r="151">
      <c r="A151" s="2" t="s">
        <v>472</v>
      </c>
      <c r="B151" s="2" t="s">
        <v>239</v>
      </c>
      <c r="C151" s="2" t="s">
        <v>34</v>
      </c>
      <c r="D151" s="2" t="s">
        <v>54</v>
      </c>
      <c r="E151" s="2" t="s">
        <v>54</v>
      </c>
      <c r="F151" s="2" t="s">
        <v>54</v>
      </c>
      <c r="G151" s="6">
        <v>45641.0</v>
      </c>
      <c r="H151" s="2" t="s">
        <v>38</v>
      </c>
      <c r="I151" s="2" t="s">
        <v>39</v>
      </c>
      <c r="J151" s="2">
        <v>40177.69</v>
      </c>
    </row>
    <row r="152">
      <c r="A152" s="2" t="s">
        <v>473</v>
      </c>
      <c r="B152" s="2" t="s">
        <v>474</v>
      </c>
      <c r="C152" s="2" t="s">
        <v>34</v>
      </c>
      <c r="D152" s="2" t="s">
        <v>111</v>
      </c>
      <c r="E152" s="2" t="s">
        <v>97</v>
      </c>
      <c r="F152" s="2" t="s">
        <v>111</v>
      </c>
      <c r="G152" s="6">
        <v>45434.0</v>
      </c>
      <c r="H152" s="2" t="s">
        <v>87</v>
      </c>
      <c r="I152" s="2" t="s">
        <v>67</v>
      </c>
      <c r="J152" s="2">
        <v>12539.61</v>
      </c>
    </row>
    <row r="153">
      <c r="A153" s="2" t="s">
        <v>476</v>
      </c>
      <c r="B153" s="2" t="s">
        <v>477</v>
      </c>
      <c r="C153" s="2" t="s">
        <v>34</v>
      </c>
      <c r="D153" s="2" t="s">
        <v>82</v>
      </c>
      <c r="E153" s="2" t="s">
        <v>81</v>
      </c>
      <c r="F153" s="2" t="s">
        <v>82</v>
      </c>
      <c r="G153" s="6">
        <v>45397.0</v>
      </c>
      <c r="H153" s="2" t="s">
        <v>66</v>
      </c>
      <c r="I153" s="2" t="s">
        <v>67</v>
      </c>
      <c r="J153" s="2">
        <v>23903.2</v>
      </c>
    </row>
    <row r="154">
      <c r="A154" s="2" t="s">
        <v>479</v>
      </c>
      <c r="B154" s="2" t="s">
        <v>480</v>
      </c>
      <c r="C154" s="2" t="s">
        <v>34</v>
      </c>
      <c r="D154" s="2" t="s">
        <v>54</v>
      </c>
      <c r="E154" s="2" t="s">
        <v>55</v>
      </c>
      <c r="F154" s="2" t="s">
        <v>54</v>
      </c>
      <c r="G154" s="6">
        <v>45373.0</v>
      </c>
      <c r="H154" s="2" t="s">
        <v>44</v>
      </c>
      <c r="I154" s="2" t="s">
        <v>29</v>
      </c>
      <c r="J154" s="2">
        <v>27769.27</v>
      </c>
    </row>
    <row r="155">
      <c r="A155" s="2" t="s">
        <v>481</v>
      </c>
      <c r="B155" s="2" t="s">
        <v>332</v>
      </c>
      <c r="C155" s="2" t="s">
        <v>22</v>
      </c>
      <c r="D155" s="2" t="s">
        <v>85</v>
      </c>
      <c r="E155" s="2" t="s">
        <v>63</v>
      </c>
      <c r="F155" s="2" t="s">
        <v>111</v>
      </c>
      <c r="G155" s="6">
        <v>45458.0</v>
      </c>
      <c r="H155" s="2" t="s">
        <v>113</v>
      </c>
      <c r="I155" s="2" t="s">
        <v>67</v>
      </c>
      <c r="J155" s="2">
        <v>25477.45</v>
      </c>
    </row>
    <row r="156">
      <c r="A156" s="2" t="s">
        <v>482</v>
      </c>
      <c r="B156" s="2" t="s">
        <v>483</v>
      </c>
      <c r="C156" s="2" t="s">
        <v>34</v>
      </c>
      <c r="D156" s="2" t="s">
        <v>82</v>
      </c>
      <c r="E156" s="2" t="s">
        <v>82</v>
      </c>
      <c r="F156" s="2" t="s">
        <v>82</v>
      </c>
      <c r="G156" s="6">
        <v>45992.0</v>
      </c>
      <c r="H156" s="2" t="s">
        <v>38</v>
      </c>
      <c r="I156" s="2" t="s">
        <v>39</v>
      </c>
      <c r="J156" s="2">
        <v>27473.77</v>
      </c>
    </row>
    <row r="157">
      <c r="A157" s="2" t="s">
        <v>484</v>
      </c>
      <c r="B157" s="2" t="s">
        <v>332</v>
      </c>
      <c r="C157" s="2" t="s">
        <v>34</v>
      </c>
      <c r="D157" s="2" t="s">
        <v>51</v>
      </c>
      <c r="E157" s="2" t="s">
        <v>51</v>
      </c>
      <c r="F157" s="2" t="s">
        <v>51</v>
      </c>
      <c r="G157" s="6">
        <v>45458.0</v>
      </c>
      <c r="H157" s="2" t="s">
        <v>113</v>
      </c>
      <c r="I157" s="2" t="s">
        <v>67</v>
      </c>
      <c r="J157" s="2">
        <v>17791.76</v>
      </c>
    </row>
    <row r="158">
      <c r="A158" s="2" t="s">
        <v>485</v>
      </c>
      <c r="B158" s="2" t="s">
        <v>128</v>
      </c>
      <c r="C158" s="2" t="s">
        <v>34</v>
      </c>
      <c r="D158" s="2" t="s">
        <v>111</v>
      </c>
      <c r="E158" s="2" t="s">
        <v>24</v>
      </c>
      <c r="F158" s="2" t="s">
        <v>111</v>
      </c>
      <c r="G158" s="6">
        <v>45306.0</v>
      </c>
      <c r="H158" s="2" t="s">
        <v>28</v>
      </c>
      <c r="I158" s="2" t="s">
        <v>29</v>
      </c>
      <c r="J158" s="2">
        <v>-4785.93</v>
      </c>
    </row>
    <row r="159">
      <c r="A159" s="2" t="s">
        <v>487</v>
      </c>
      <c r="B159" s="2" t="s">
        <v>488</v>
      </c>
      <c r="C159" s="2" t="s">
        <v>489</v>
      </c>
      <c r="D159" s="2" t="s">
        <v>23</v>
      </c>
      <c r="E159" s="2" t="s">
        <v>97</v>
      </c>
      <c r="F159" s="2" t="s">
        <v>111</v>
      </c>
      <c r="G159" s="6">
        <v>45623.0</v>
      </c>
      <c r="H159" s="2" t="s">
        <v>142</v>
      </c>
      <c r="I159" s="2" t="s">
        <v>39</v>
      </c>
      <c r="J159" s="2">
        <v>-7412.24</v>
      </c>
    </row>
    <row r="160">
      <c r="A160" s="2" t="s">
        <v>490</v>
      </c>
      <c r="B160" s="2" t="s">
        <v>491</v>
      </c>
      <c r="C160" s="2" t="s">
        <v>34</v>
      </c>
      <c r="D160" s="2" t="s">
        <v>111</v>
      </c>
      <c r="E160" s="2" t="s">
        <v>97</v>
      </c>
      <c r="F160" s="2" t="s">
        <v>111</v>
      </c>
      <c r="G160" s="6">
        <v>45470.0</v>
      </c>
      <c r="H160" s="2" t="s">
        <v>113</v>
      </c>
      <c r="I160" s="2" t="s">
        <v>67</v>
      </c>
      <c r="J160" s="2">
        <v>64742.86</v>
      </c>
    </row>
    <row r="161">
      <c r="A161" s="2" t="s">
        <v>493</v>
      </c>
      <c r="B161" s="2" t="s">
        <v>337</v>
      </c>
      <c r="C161" s="2" t="s">
        <v>22</v>
      </c>
      <c r="D161" s="2" t="s">
        <v>85</v>
      </c>
      <c r="E161" s="2" t="s">
        <v>111</v>
      </c>
      <c r="F161" s="2" t="s">
        <v>111</v>
      </c>
      <c r="G161" s="6">
        <v>45611.0</v>
      </c>
      <c r="H161" s="2" t="s">
        <v>142</v>
      </c>
      <c r="I161" s="2" t="s">
        <v>39</v>
      </c>
      <c r="J161" s="2">
        <v>19437.26</v>
      </c>
    </row>
    <row r="162">
      <c r="A162" s="2" t="s">
        <v>495</v>
      </c>
      <c r="B162" s="2" t="s">
        <v>496</v>
      </c>
      <c r="C162" s="2" t="s">
        <v>34</v>
      </c>
      <c r="D162" s="2" t="s">
        <v>54</v>
      </c>
      <c r="E162" s="2" t="s">
        <v>130</v>
      </c>
      <c r="F162" s="2" t="s">
        <v>54</v>
      </c>
      <c r="G162" s="6">
        <v>45407.0</v>
      </c>
      <c r="H162" s="2" t="s">
        <v>66</v>
      </c>
      <c r="I162" s="2" t="s">
        <v>67</v>
      </c>
      <c r="J162" s="2">
        <v>30444.84</v>
      </c>
    </row>
    <row r="163">
      <c r="A163" s="2" t="s">
        <v>498</v>
      </c>
      <c r="B163" s="2" t="s">
        <v>499</v>
      </c>
      <c r="C163" s="2" t="s">
        <v>34</v>
      </c>
      <c r="D163" s="2" t="s">
        <v>82</v>
      </c>
      <c r="E163" s="2" t="s">
        <v>82</v>
      </c>
      <c r="F163" s="2" t="s">
        <v>82</v>
      </c>
      <c r="G163" s="6">
        <v>45378.0</v>
      </c>
      <c r="H163" s="2" t="s">
        <v>44</v>
      </c>
      <c r="I163" s="2" t="s">
        <v>29</v>
      </c>
      <c r="J163" s="2">
        <v>22027.3</v>
      </c>
    </row>
    <row r="164">
      <c r="A164" s="2" t="s">
        <v>501</v>
      </c>
      <c r="B164" s="2" t="s">
        <v>502</v>
      </c>
      <c r="C164" s="2" t="s">
        <v>34</v>
      </c>
      <c r="D164" s="2" t="s">
        <v>31</v>
      </c>
      <c r="E164" s="2" t="s">
        <v>35</v>
      </c>
      <c r="F164" s="2" t="s">
        <v>31</v>
      </c>
      <c r="G164" s="6">
        <v>45580.0</v>
      </c>
      <c r="H164" s="2" t="s">
        <v>49</v>
      </c>
      <c r="I164" s="2" t="s">
        <v>39</v>
      </c>
      <c r="J164" s="2">
        <v>23517.94</v>
      </c>
    </row>
    <row r="165">
      <c r="A165" s="2" t="s">
        <v>503</v>
      </c>
      <c r="B165" s="2" t="s">
        <v>504</v>
      </c>
      <c r="C165" s="2" t="s">
        <v>34</v>
      </c>
      <c r="D165" s="2" t="s">
        <v>31</v>
      </c>
      <c r="E165" s="2" t="s">
        <v>77</v>
      </c>
      <c r="F165" s="2" t="s">
        <v>31</v>
      </c>
      <c r="G165" s="6">
        <v>45581.0</v>
      </c>
      <c r="H165" s="2" t="s">
        <v>49</v>
      </c>
      <c r="I165" s="2" t="s">
        <v>39</v>
      </c>
      <c r="J165" s="2">
        <v>36505.5</v>
      </c>
    </row>
    <row r="166">
      <c r="A166" s="2" t="s">
        <v>506</v>
      </c>
      <c r="B166" s="2" t="s">
        <v>332</v>
      </c>
      <c r="C166" s="2" t="s">
        <v>34</v>
      </c>
      <c r="D166" s="2" t="s">
        <v>90</v>
      </c>
      <c r="E166" s="2" t="s">
        <v>91</v>
      </c>
      <c r="F166" s="2" t="s">
        <v>90</v>
      </c>
      <c r="G166" s="6">
        <v>45458.0</v>
      </c>
      <c r="H166" s="2" t="s">
        <v>113</v>
      </c>
      <c r="I166" s="2" t="s">
        <v>67</v>
      </c>
      <c r="J166" s="2">
        <v>0.0</v>
      </c>
    </row>
    <row r="167">
      <c r="A167" s="2" t="s">
        <v>507</v>
      </c>
      <c r="B167" s="2" t="s">
        <v>508</v>
      </c>
      <c r="C167" s="2" t="s">
        <v>22</v>
      </c>
      <c r="D167" s="2" t="s">
        <v>85</v>
      </c>
      <c r="E167" s="2" t="s">
        <v>111</v>
      </c>
      <c r="F167" s="2" t="s">
        <v>111</v>
      </c>
      <c r="G167" s="6">
        <v>45453.0</v>
      </c>
      <c r="H167" s="2" t="s">
        <v>113</v>
      </c>
      <c r="I167" s="2" t="s">
        <v>67</v>
      </c>
      <c r="J167" s="2">
        <v>25684.53</v>
      </c>
    </row>
    <row r="168">
      <c r="A168" s="2" t="s">
        <v>509</v>
      </c>
      <c r="B168" s="2" t="s">
        <v>510</v>
      </c>
      <c r="C168" s="2" t="s">
        <v>34</v>
      </c>
      <c r="D168" s="2" t="s">
        <v>31</v>
      </c>
      <c r="E168" s="2" t="s">
        <v>31</v>
      </c>
      <c r="F168" s="2" t="s">
        <v>31</v>
      </c>
      <c r="G168" s="6">
        <v>45999.0</v>
      </c>
      <c r="H168" s="2" t="s">
        <v>38</v>
      </c>
      <c r="I168" s="2" t="s">
        <v>39</v>
      </c>
      <c r="J168" s="2">
        <v>61641.47</v>
      </c>
    </row>
    <row r="169">
      <c r="A169" s="2" t="s">
        <v>512</v>
      </c>
      <c r="B169" s="2" t="s">
        <v>513</v>
      </c>
      <c r="C169" s="2" t="s">
        <v>22</v>
      </c>
      <c r="D169" s="2" t="s">
        <v>23</v>
      </c>
      <c r="E169" s="2" t="s">
        <v>97</v>
      </c>
      <c r="F169" s="2" t="s">
        <v>111</v>
      </c>
      <c r="G169" s="6">
        <v>45341.0</v>
      </c>
      <c r="H169" s="2" t="s">
        <v>126</v>
      </c>
      <c r="I169" s="2" t="s">
        <v>29</v>
      </c>
      <c r="J169" s="2">
        <v>290249.79</v>
      </c>
    </row>
    <row r="170">
      <c r="A170" s="2" t="s">
        <v>514</v>
      </c>
      <c r="B170" s="2" t="s">
        <v>515</v>
      </c>
      <c r="C170" s="2" t="s">
        <v>34</v>
      </c>
      <c r="D170" s="2" t="s">
        <v>90</v>
      </c>
      <c r="E170" s="2" t="s">
        <v>104</v>
      </c>
      <c r="F170" s="2" t="s">
        <v>90</v>
      </c>
      <c r="G170" s="6">
        <v>45365.0</v>
      </c>
      <c r="H170" s="2" t="s">
        <v>44</v>
      </c>
      <c r="I170" s="2" t="s">
        <v>29</v>
      </c>
      <c r="J170" s="2">
        <v>10493.83</v>
      </c>
    </row>
    <row r="171">
      <c r="A171" s="2" t="s">
        <v>517</v>
      </c>
      <c r="B171" s="2" t="s">
        <v>518</v>
      </c>
      <c r="C171" s="2" t="s">
        <v>34</v>
      </c>
      <c r="D171" s="2" t="s">
        <v>51</v>
      </c>
      <c r="E171" s="2" t="s">
        <v>50</v>
      </c>
      <c r="F171" s="2" t="s">
        <v>51</v>
      </c>
      <c r="G171" s="6">
        <v>45622.0</v>
      </c>
      <c r="H171" s="2" t="s">
        <v>142</v>
      </c>
      <c r="I171" s="2" t="s">
        <v>39</v>
      </c>
      <c r="J171" s="2">
        <v>22633.46</v>
      </c>
    </row>
    <row r="172">
      <c r="A172" s="2" t="s">
        <v>519</v>
      </c>
      <c r="B172" s="2" t="s">
        <v>520</v>
      </c>
      <c r="C172" s="2" t="s">
        <v>22</v>
      </c>
      <c r="D172" s="2" t="s">
        <v>23</v>
      </c>
      <c r="E172" s="2" t="s">
        <v>24</v>
      </c>
      <c r="F172" s="2" t="s">
        <v>111</v>
      </c>
      <c r="G172" s="6">
        <v>45655.0</v>
      </c>
      <c r="H172" s="2" t="s">
        <v>38</v>
      </c>
      <c r="I172" s="2" t="s">
        <v>39</v>
      </c>
      <c r="J172" s="2">
        <v>174580.7</v>
      </c>
    </row>
    <row r="173">
      <c r="A173" s="2" t="s">
        <v>522</v>
      </c>
      <c r="B173" s="2" t="s">
        <v>523</v>
      </c>
      <c r="C173" s="2" t="s">
        <v>34</v>
      </c>
      <c r="D173" s="2" t="s">
        <v>54</v>
      </c>
      <c r="E173" s="2" t="s">
        <v>55</v>
      </c>
      <c r="F173" s="2" t="s">
        <v>54</v>
      </c>
      <c r="G173" s="6">
        <v>45614.0</v>
      </c>
      <c r="H173" s="2" t="s">
        <v>142</v>
      </c>
      <c r="I173" s="2" t="s">
        <v>39</v>
      </c>
      <c r="J173" s="2">
        <v>48794.58</v>
      </c>
    </row>
    <row r="174">
      <c r="A174" s="2" t="s">
        <v>524</v>
      </c>
      <c r="B174" s="2" t="s">
        <v>525</v>
      </c>
      <c r="C174" s="2" t="s">
        <v>34</v>
      </c>
      <c r="D174" s="2" t="s">
        <v>54</v>
      </c>
      <c r="E174" s="2" t="s">
        <v>124</v>
      </c>
      <c r="F174" s="2" t="s">
        <v>54</v>
      </c>
      <c r="G174" s="6">
        <v>45598.0</v>
      </c>
      <c r="H174" s="2" t="s">
        <v>142</v>
      </c>
      <c r="I174" s="2" t="s">
        <v>39</v>
      </c>
      <c r="J174" s="2">
        <v>24982.9</v>
      </c>
    </row>
    <row r="175">
      <c r="A175" s="2" t="s">
        <v>527</v>
      </c>
      <c r="B175" s="2" t="s">
        <v>528</v>
      </c>
      <c r="C175" s="2" t="s">
        <v>22</v>
      </c>
      <c r="D175" s="2" t="s">
        <v>85</v>
      </c>
      <c r="E175" s="2" t="s">
        <v>24</v>
      </c>
      <c r="F175" s="2" t="s">
        <v>111</v>
      </c>
      <c r="G175" s="6">
        <v>45294.0</v>
      </c>
      <c r="H175" s="2" t="s">
        <v>28</v>
      </c>
      <c r="I175" s="2" t="s">
        <v>29</v>
      </c>
      <c r="J175" s="2">
        <v>46692.45</v>
      </c>
    </row>
    <row r="176">
      <c r="A176" s="2" t="s">
        <v>529</v>
      </c>
      <c r="B176" s="2" t="s">
        <v>464</v>
      </c>
      <c r="C176" s="2" t="s">
        <v>34</v>
      </c>
      <c r="D176" s="2" t="s">
        <v>111</v>
      </c>
      <c r="E176" s="2" t="s">
        <v>97</v>
      </c>
      <c r="F176" s="2" t="s">
        <v>111</v>
      </c>
      <c r="G176" s="6">
        <v>45553.0</v>
      </c>
      <c r="H176" s="2" t="s">
        <v>73</v>
      </c>
      <c r="I176" s="2" t="s">
        <v>59</v>
      </c>
      <c r="J176" s="2">
        <v>46071.87</v>
      </c>
    </row>
    <row r="177">
      <c r="A177" s="2" t="s">
        <v>531</v>
      </c>
      <c r="B177" s="2" t="s">
        <v>532</v>
      </c>
      <c r="C177" s="2" t="s">
        <v>22</v>
      </c>
      <c r="D177" s="2" t="s">
        <v>85</v>
      </c>
      <c r="E177" s="2" t="s">
        <v>63</v>
      </c>
      <c r="F177" s="2" t="s">
        <v>111</v>
      </c>
      <c r="G177" s="6">
        <v>45486.0</v>
      </c>
      <c r="H177" s="2" t="s">
        <v>58</v>
      </c>
      <c r="I177" s="2" t="s">
        <v>59</v>
      </c>
      <c r="J177" s="2">
        <v>28933.3</v>
      </c>
    </row>
    <row r="178">
      <c r="A178" s="2" t="s">
        <v>533</v>
      </c>
      <c r="B178" s="2" t="s">
        <v>247</v>
      </c>
      <c r="C178" s="2" t="s">
        <v>34</v>
      </c>
      <c r="D178" s="2" t="s">
        <v>51</v>
      </c>
      <c r="E178" s="2" t="s">
        <v>50</v>
      </c>
      <c r="F178" s="2" t="s">
        <v>51</v>
      </c>
      <c r="G178" s="6">
        <v>45397.0</v>
      </c>
      <c r="H178" s="2" t="s">
        <v>66</v>
      </c>
      <c r="I178" s="2" t="s">
        <v>67</v>
      </c>
      <c r="J178" s="2">
        <v>11760.15</v>
      </c>
    </row>
    <row r="179">
      <c r="A179" s="2" t="s">
        <v>534</v>
      </c>
      <c r="B179" s="2" t="s">
        <v>535</v>
      </c>
      <c r="C179" s="2" t="s">
        <v>22</v>
      </c>
      <c r="D179" s="2" t="s">
        <v>85</v>
      </c>
      <c r="E179" s="2" t="s">
        <v>111</v>
      </c>
      <c r="F179" s="2" t="s">
        <v>111</v>
      </c>
      <c r="G179" s="6">
        <v>45582.0</v>
      </c>
      <c r="H179" s="2" t="s">
        <v>49</v>
      </c>
      <c r="I179" s="2" t="s">
        <v>39</v>
      </c>
      <c r="J179" s="2">
        <v>17298.05</v>
      </c>
    </row>
    <row r="180">
      <c r="A180" s="2" t="s">
        <v>536</v>
      </c>
      <c r="B180" s="2" t="s">
        <v>537</v>
      </c>
      <c r="C180" s="2" t="s">
        <v>34</v>
      </c>
      <c r="D180" s="2" t="s">
        <v>54</v>
      </c>
      <c r="E180" s="2" t="s">
        <v>196</v>
      </c>
      <c r="F180" s="2" t="s">
        <v>54</v>
      </c>
      <c r="G180" s="6">
        <v>45292.0</v>
      </c>
      <c r="H180" s="2" t="s">
        <v>28</v>
      </c>
      <c r="I180" s="2" t="s">
        <v>29</v>
      </c>
      <c r="J180" s="2">
        <v>102936.49</v>
      </c>
    </row>
    <row r="181">
      <c r="A181" s="2" t="s">
        <v>539</v>
      </c>
      <c r="B181" s="2" t="s">
        <v>540</v>
      </c>
      <c r="C181" s="2" t="s">
        <v>34</v>
      </c>
      <c r="D181" s="2" t="s">
        <v>31</v>
      </c>
      <c r="E181" s="2" t="s">
        <v>31</v>
      </c>
      <c r="F181" s="2" t="s">
        <v>31</v>
      </c>
      <c r="G181" s="6">
        <v>46182.0</v>
      </c>
      <c r="H181" s="2" t="s">
        <v>113</v>
      </c>
      <c r="I181" s="2" t="s">
        <v>67</v>
      </c>
      <c r="J181" s="2">
        <v>31787.73</v>
      </c>
    </row>
    <row r="182">
      <c r="A182" s="2" t="s">
        <v>541</v>
      </c>
      <c r="B182" s="2" t="s">
        <v>542</v>
      </c>
      <c r="C182" s="2" t="s">
        <v>34</v>
      </c>
      <c r="D182" s="2" t="s">
        <v>90</v>
      </c>
      <c r="E182" s="2" t="s">
        <v>91</v>
      </c>
      <c r="F182" s="2" t="s">
        <v>90</v>
      </c>
      <c r="G182" s="6">
        <v>45908.0</v>
      </c>
      <c r="H182" s="2" t="s">
        <v>73</v>
      </c>
      <c r="I182" s="2" t="s">
        <v>59</v>
      </c>
      <c r="J182" s="2">
        <v>13044.89</v>
      </c>
    </row>
    <row r="183">
      <c r="A183" s="2" t="s">
        <v>543</v>
      </c>
      <c r="B183" s="2" t="s">
        <v>544</v>
      </c>
      <c r="C183" s="2" t="s">
        <v>34</v>
      </c>
      <c r="D183" s="2" t="s">
        <v>90</v>
      </c>
      <c r="E183" s="2" t="s">
        <v>114</v>
      </c>
      <c r="F183" s="2" t="s">
        <v>90</v>
      </c>
      <c r="G183" s="6">
        <v>45436.0</v>
      </c>
      <c r="H183" s="2" t="s">
        <v>87</v>
      </c>
      <c r="I183" s="2" t="s">
        <v>67</v>
      </c>
      <c r="J183" s="2">
        <v>12564.15</v>
      </c>
    </row>
    <row r="184">
      <c r="A184" s="2" t="s">
        <v>546</v>
      </c>
      <c r="B184" s="2" t="s">
        <v>547</v>
      </c>
      <c r="C184" s="2" t="s">
        <v>22</v>
      </c>
      <c r="D184" s="2" t="s">
        <v>85</v>
      </c>
      <c r="E184" s="2" t="s">
        <v>111</v>
      </c>
      <c r="F184" s="2" t="s">
        <v>111</v>
      </c>
      <c r="G184" s="6">
        <v>45543.0</v>
      </c>
      <c r="H184" s="2" t="s">
        <v>73</v>
      </c>
      <c r="I184" s="2" t="s">
        <v>59</v>
      </c>
      <c r="J184" s="2">
        <v>21225.92</v>
      </c>
    </row>
    <row r="185">
      <c r="A185" s="2" t="s">
        <v>549</v>
      </c>
      <c r="B185" s="2" t="s">
        <v>550</v>
      </c>
      <c r="C185" s="2" t="s">
        <v>34</v>
      </c>
      <c r="D185" s="2" t="s">
        <v>82</v>
      </c>
      <c r="E185" s="2" t="s">
        <v>82</v>
      </c>
      <c r="F185" s="2" t="s">
        <v>82</v>
      </c>
      <c r="G185" s="6">
        <v>45577.0</v>
      </c>
      <c r="H185" s="2" t="s">
        <v>49</v>
      </c>
      <c r="I185" s="2" t="s">
        <v>39</v>
      </c>
      <c r="J185" s="2">
        <v>18007.48</v>
      </c>
    </row>
    <row r="186">
      <c r="A186" s="2" t="s">
        <v>551</v>
      </c>
      <c r="B186" s="2" t="s">
        <v>552</v>
      </c>
      <c r="C186" s="2" t="s">
        <v>22</v>
      </c>
      <c r="D186" s="2" t="s">
        <v>85</v>
      </c>
      <c r="E186" s="2" t="s">
        <v>24</v>
      </c>
      <c r="F186" s="2" t="s">
        <v>111</v>
      </c>
      <c r="G186" s="6">
        <v>45365.0</v>
      </c>
      <c r="H186" s="2" t="s">
        <v>44</v>
      </c>
      <c r="I186" s="2" t="s">
        <v>29</v>
      </c>
      <c r="J186" s="2">
        <v>18190.84</v>
      </c>
    </row>
    <row r="187">
      <c r="A187" s="2" t="s">
        <v>553</v>
      </c>
      <c r="B187" s="2" t="s">
        <v>295</v>
      </c>
      <c r="C187" s="2" t="s">
        <v>34</v>
      </c>
      <c r="D187" s="2" t="s">
        <v>82</v>
      </c>
      <c r="E187" s="2" t="s">
        <v>418</v>
      </c>
      <c r="F187" s="2" t="s">
        <v>82</v>
      </c>
      <c r="G187" s="6">
        <v>45427.0</v>
      </c>
      <c r="H187" s="2" t="s">
        <v>87</v>
      </c>
      <c r="I187" s="2" t="s">
        <v>67</v>
      </c>
      <c r="J187" s="2">
        <v>25018.52</v>
      </c>
    </row>
    <row r="188">
      <c r="A188" s="2" t="s">
        <v>555</v>
      </c>
      <c r="B188" s="2" t="s">
        <v>470</v>
      </c>
      <c r="C188" s="2" t="s">
        <v>22</v>
      </c>
      <c r="D188" s="2" t="s">
        <v>62</v>
      </c>
      <c r="E188" s="2" t="s">
        <v>111</v>
      </c>
      <c r="F188" s="2" t="s">
        <v>111</v>
      </c>
      <c r="G188" s="6">
        <v>45517.0</v>
      </c>
      <c r="H188" s="2" t="s">
        <v>108</v>
      </c>
      <c r="I188" s="2" t="s">
        <v>59</v>
      </c>
      <c r="J188" s="2">
        <v>6757.14</v>
      </c>
    </row>
    <row r="189">
      <c r="A189" s="2" t="s">
        <v>556</v>
      </c>
      <c r="B189" s="2" t="s">
        <v>557</v>
      </c>
      <c r="C189" s="2" t="s">
        <v>34</v>
      </c>
      <c r="D189" s="2" t="s">
        <v>31</v>
      </c>
      <c r="E189" s="2" t="s">
        <v>145</v>
      </c>
      <c r="F189" s="2" t="s">
        <v>31</v>
      </c>
      <c r="G189" s="6">
        <v>45496.0</v>
      </c>
      <c r="H189" s="2" t="s">
        <v>58</v>
      </c>
      <c r="I189" s="2" t="s">
        <v>59</v>
      </c>
      <c r="J189" s="2">
        <v>17760.3023</v>
      </c>
    </row>
    <row r="190">
      <c r="A190" s="2" t="s">
        <v>558</v>
      </c>
      <c r="B190" s="2" t="s">
        <v>559</v>
      </c>
      <c r="C190" s="2" t="s">
        <v>22</v>
      </c>
      <c r="D190" s="2" t="s">
        <v>85</v>
      </c>
      <c r="E190" s="2" t="s">
        <v>63</v>
      </c>
      <c r="F190" s="2" t="s">
        <v>111</v>
      </c>
      <c r="G190" s="6">
        <v>45637.0</v>
      </c>
      <c r="H190" s="2" t="s">
        <v>38</v>
      </c>
      <c r="I190" s="2" t="s">
        <v>39</v>
      </c>
      <c r="J190" s="2">
        <v>18492.19</v>
      </c>
    </row>
    <row r="191">
      <c r="A191" s="2" t="s">
        <v>560</v>
      </c>
      <c r="B191" s="2" t="s">
        <v>561</v>
      </c>
      <c r="C191" s="2" t="s">
        <v>22</v>
      </c>
      <c r="D191" s="2" t="s">
        <v>85</v>
      </c>
      <c r="E191" s="2" t="s">
        <v>63</v>
      </c>
      <c r="F191" s="2" t="s">
        <v>111</v>
      </c>
      <c r="G191" s="6">
        <v>45301.0</v>
      </c>
      <c r="H191" s="2" t="s">
        <v>28</v>
      </c>
      <c r="I191" s="2" t="s">
        <v>29</v>
      </c>
      <c r="J191" s="2">
        <v>26965.24</v>
      </c>
    </row>
    <row r="192">
      <c r="A192" s="2" t="s">
        <v>562</v>
      </c>
      <c r="B192" s="2" t="s">
        <v>457</v>
      </c>
      <c r="C192" s="2" t="s">
        <v>34</v>
      </c>
      <c r="D192" s="2" t="s">
        <v>51</v>
      </c>
      <c r="E192" s="2" t="s">
        <v>68</v>
      </c>
      <c r="F192" s="2" t="s">
        <v>51</v>
      </c>
      <c r="G192" s="6">
        <v>45501.0</v>
      </c>
      <c r="H192" s="2" t="s">
        <v>58</v>
      </c>
      <c r="I192" s="2" t="s">
        <v>59</v>
      </c>
      <c r="J192" s="2">
        <v>12441.35</v>
      </c>
    </row>
    <row r="193">
      <c r="A193" s="2" t="s">
        <v>564</v>
      </c>
      <c r="B193" s="2" t="s">
        <v>565</v>
      </c>
      <c r="C193" s="2" t="s">
        <v>22</v>
      </c>
      <c r="D193" s="2" t="s">
        <v>85</v>
      </c>
      <c r="E193" s="2" t="s">
        <v>97</v>
      </c>
      <c r="F193" s="2" t="s">
        <v>111</v>
      </c>
      <c r="G193" s="6">
        <v>45306.0</v>
      </c>
      <c r="H193" s="2" t="s">
        <v>28</v>
      </c>
      <c r="I193" s="2" t="s">
        <v>29</v>
      </c>
      <c r="J193" s="2">
        <v>11786.08</v>
      </c>
    </row>
    <row r="194">
      <c r="A194" s="2" t="s">
        <v>566</v>
      </c>
      <c r="B194" s="2" t="s">
        <v>567</v>
      </c>
      <c r="C194" s="2" t="s">
        <v>34</v>
      </c>
      <c r="D194" s="2" t="s">
        <v>111</v>
      </c>
      <c r="E194" s="2" t="s">
        <v>97</v>
      </c>
      <c r="F194" s="2" t="s">
        <v>111</v>
      </c>
      <c r="G194" s="6">
        <v>45316.0</v>
      </c>
      <c r="H194" s="2" t="s">
        <v>28</v>
      </c>
      <c r="I194" s="2" t="s">
        <v>29</v>
      </c>
      <c r="J194" s="2">
        <v>24337.06</v>
      </c>
    </row>
    <row r="195">
      <c r="A195" s="2" t="s">
        <v>568</v>
      </c>
      <c r="B195" s="2" t="s">
        <v>569</v>
      </c>
      <c r="C195" s="2" t="s">
        <v>34</v>
      </c>
      <c r="D195" s="2" t="s">
        <v>31</v>
      </c>
      <c r="E195" s="2" t="s">
        <v>77</v>
      </c>
      <c r="F195" s="2" t="s">
        <v>31</v>
      </c>
      <c r="G195" s="6">
        <v>45375.0</v>
      </c>
      <c r="H195" s="2" t="s">
        <v>44</v>
      </c>
      <c r="I195" s="2" t="s">
        <v>29</v>
      </c>
      <c r="J195" s="2">
        <v>21024.62</v>
      </c>
    </row>
    <row r="196">
      <c r="A196" s="2" t="s">
        <v>571</v>
      </c>
      <c r="B196" s="2" t="s">
        <v>572</v>
      </c>
      <c r="C196" s="2" t="s">
        <v>22</v>
      </c>
      <c r="D196" s="2" t="s">
        <v>23</v>
      </c>
      <c r="E196" s="2" t="s">
        <v>63</v>
      </c>
      <c r="F196" s="2" t="s">
        <v>111</v>
      </c>
      <c r="G196" s="6">
        <v>45324.0</v>
      </c>
      <c r="H196" s="2" t="s">
        <v>126</v>
      </c>
      <c r="I196" s="2" t="s">
        <v>29</v>
      </c>
      <c r="J196" s="2">
        <v>184909.58</v>
      </c>
    </row>
    <row r="197">
      <c r="A197" s="2" t="s">
        <v>573</v>
      </c>
      <c r="B197" s="2" t="s">
        <v>574</v>
      </c>
      <c r="C197" s="2" t="s">
        <v>34</v>
      </c>
      <c r="D197" s="2" t="s">
        <v>54</v>
      </c>
      <c r="E197" s="2" t="s">
        <v>196</v>
      </c>
      <c r="F197" s="2" t="s">
        <v>54</v>
      </c>
      <c r="G197" s="6">
        <v>45344.0</v>
      </c>
      <c r="H197" s="2" t="s">
        <v>126</v>
      </c>
      <c r="I197" s="2" t="s">
        <v>29</v>
      </c>
      <c r="J197" s="2">
        <v>23331.38</v>
      </c>
    </row>
    <row r="198">
      <c r="A198" s="2" t="s">
        <v>575</v>
      </c>
      <c r="B198" s="2" t="s">
        <v>295</v>
      </c>
      <c r="C198" s="2" t="s">
        <v>22</v>
      </c>
      <c r="D198" s="2" t="s">
        <v>62</v>
      </c>
      <c r="E198" s="2" t="s">
        <v>63</v>
      </c>
      <c r="F198" s="2" t="s">
        <v>111</v>
      </c>
      <c r="G198" s="6">
        <v>45427.0</v>
      </c>
      <c r="H198" s="2" t="s">
        <v>87</v>
      </c>
      <c r="I198" s="2" t="s">
        <v>67</v>
      </c>
      <c r="J198" s="2">
        <v>9652.61</v>
      </c>
    </row>
    <row r="199">
      <c r="A199" s="2" t="s">
        <v>576</v>
      </c>
      <c r="B199" s="2" t="s">
        <v>160</v>
      </c>
      <c r="C199" s="2" t="s">
        <v>34</v>
      </c>
      <c r="D199" s="2" t="s">
        <v>51</v>
      </c>
      <c r="E199" s="2" t="s">
        <v>51</v>
      </c>
      <c r="F199" s="2" t="s">
        <v>51</v>
      </c>
      <c r="G199" s="6">
        <v>45434.0</v>
      </c>
      <c r="H199" s="2" t="s">
        <v>87</v>
      </c>
      <c r="I199" s="2" t="s">
        <v>67</v>
      </c>
      <c r="J199" s="2">
        <v>24941.76</v>
      </c>
    </row>
    <row r="200">
      <c r="A200" s="2" t="s">
        <v>577</v>
      </c>
      <c r="B200" s="2" t="s">
        <v>578</v>
      </c>
      <c r="C200" s="2" t="s">
        <v>22</v>
      </c>
      <c r="D200" s="2" t="s">
        <v>85</v>
      </c>
      <c r="E200" s="2" t="s">
        <v>97</v>
      </c>
      <c r="F200" s="2" t="s">
        <v>111</v>
      </c>
      <c r="G200" s="6">
        <v>45415.0</v>
      </c>
      <c r="H200" s="2" t="s">
        <v>87</v>
      </c>
      <c r="I200" s="2" t="s">
        <v>67</v>
      </c>
      <c r="J200" s="2">
        <v>19462.11</v>
      </c>
    </row>
    <row r="201">
      <c r="A201" s="2" t="s">
        <v>579</v>
      </c>
      <c r="B201" s="2" t="s">
        <v>580</v>
      </c>
      <c r="C201" s="2" t="s">
        <v>34</v>
      </c>
      <c r="D201" s="2" t="s">
        <v>82</v>
      </c>
      <c r="E201" s="2" t="s">
        <v>99</v>
      </c>
      <c r="F201" s="2" t="s">
        <v>82</v>
      </c>
      <c r="G201" s="6">
        <v>45392.0</v>
      </c>
      <c r="H201" s="2" t="s">
        <v>66</v>
      </c>
      <c r="I201" s="2" t="s">
        <v>67</v>
      </c>
      <c r="J201" s="2">
        <v>32104.56</v>
      </c>
    </row>
    <row r="202">
      <c r="A202" s="2" t="s">
        <v>581</v>
      </c>
      <c r="B202" s="2" t="s">
        <v>582</v>
      </c>
      <c r="C202" s="2" t="s">
        <v>22</v>
      </c>
      <c r="D202" s="2" t="s">
        <v>23</v>
      </c>
      <c r="E202" s="2" t="s">
        <v>111</v>
      </c>
      <c r="F202" s="2" t="s">
        <v>111</v>
      </c>
      <c r="G202" s="6">
        <v>45391.0</v>
      </c>
      <c r="H202" s="2" t="s">
        <v>66</v>
      </c>
      <c r="I202" s="2" t="s">
        <v>67</v>
      </c>
      <c r="J202" s="2">
        <v>419050.65</v>
      </c>
    </row>
    <row r="203">
      <c r="A203" s="2" t="s">
        <v>583</v>
      </c>
      <c r="B203" s="2" t="s">
        <v>584</v>
      </c>
      <c r="C203" s="2" t="s">
        <v>34</v>
      </c>
      <c r="D203" s="2" t="s">
        <v>90</v>
      </c>
      <c r="E203" s="2" t="s">
        <v>114</v>
      </c>
      <c r="F203" s="2" t="s">
        <v>90</v>
      </c>
      <c r="G203" s="6">
        <v>45591.0</v>
      </c>
      <c r="H203" s="2" t="s">
        <v>49</v>
      </c>
      <c r="I203" s="2" t="s">
        <v>39</v>
      </c>
      <c r="J203" s="2">
        <v>12115.03</v>
      </c>
    </row>
    <row r="204">
      <c r="A204" s="2" t="s">
        <v>585</v>
      </c>
      <c r="B204" s="2" t="s">
        <v>468</v>
      </c>
      <c r="C204" s="2" t="s">
        <v>34</v>
      </c>
      <c r="D204" s="2" t="s">
        <v>51</v>
      </c>
      <c r="E204" s="2" t="s">
        <v>50</v>
      </c>
      <c r="F204" s="2" t="s">
        <v>51</v>
      </c>
      <c r="G204" s="6">
        <v>45545.0</v>
      </c>
      <c r="H204" s="2" t="s">
        <v>73</v>
      </c>
      <c r="I204" s="2" t="s">
        <v>59</v>
      </c>
      <c r="J204" s="2">
        <v>8844.28</v>
      </c>
    </row>
    <row r="205">
      <c r="A205" s="2" t="s">
        <v>586</v>
      </c>
      <c r="B205" s="2" t="s">
        <v>587</v>
      </c>
      <c r="C205" s="2" t="s">
        <v>34</v>
      </c>
      <c r="D205" s="2" t="s">
        <v>111</v>
      </c>
      <c r="E205" s="2" t="s">
        <v>24</v>
      </c>
      <c r="F205" s="2" t="s">
        <v>111</v>
      </c>
      <c r="G205" s="6">
        <v>45628.0</v>
      </c>
      <c r="H205" s="2" t="s">
        <v>38</v>
      </c>
      <c r="I205" s="2" t="s">
        <v>39</v>
      </c>
      <c r="J205" s="2">
        <v>10536.81</v>
      </c>
    </row>
    <row r="206">
      <c r="A206" s="2" t="s">
        <v>588</v>
      </c>
      <c r="B206" s="2" t="s">
        <v>332</v>
      </c>
      <c r="C206" s="2" t="s">
        <v>22</v>
      </c>
      <c r="D206" s="2" t="s">
        <v>62</v>
      </c>
      <c r="E206" s="2" t="s">
        <v>24</v>
      </c>
      <c r="F206" s="2" t="s">
        <v>111</v>
      </c>
      <c r="G206" s="6">
        <v>45458.0</v>
      </c>
      <c r="H206" s="2" t="s">
        <v>113</v>
      </c>
      <c r="I206" s="2" t="s">
        <v>67</v>
      </c>
      <c r="J206" s="2">
        <v>8516.34</v>
      </c>
    </row>
    <row r="207">
      <c r="A207" s="2" t="s">
        <v>589</v>
      </c>
      <c r="B207" s="2" t="s">
        <v>337</v>
      </c>
      <c r="C207" s="2" t="s">
        <v>34</v>
      </c>
      <c r="D207" s="2" t="s">
        <v>54</v>
      </c>
      <c r="E207" s="2" t="s">
        <v>55</v>
      </c>
      <c r="F207" s="2" t="s">
        <v>54</v>
      </c>
      <c r="G207" s="6">
        <v>45611.0</v>
      </c>
      <c r="H207" s="2" t="s">
        <v>142</v>
      </c>
      <c r="I207" s="2" t="s">
        <v>39</v>
      </c>
      <c r="J207" s="2">
        <v>28682.03</v>
      </c>
    </row>
    <row r="208">
      <c r="A208" s="2" t="s">
        <v>591</v>
      </c>
      <c r="B208" s="2" t="s">
        <v>316</v>
      </c>
      <c r="C208" s="2" t="s">
        <v>34</v>
      </c>
      <c r="D208" s="2" t="s">
        <v>111</v>
      </c>
      <c r="E208" s="2" t="s">
        <v>63</v>
      </c>
      <c r="F208" s="2" t="s">
        <v>111</v>
      </c>
      <c r="G208" s="6">
        <v>45566.0</v>
      </c>
      <c r="H208" s="2" t="s">
        <v>49</v>
      </c>
      <c r="I208" s="2" t="s">
        <v>39</v>
      </c>
      <c r="J208" s="2">
        <v>54510.25</v>
      </c>
    </row>
    <row r="209">
      <c r="A209" s="2" t="s">
        <v>593</v>
      </c>
      <c r="B209" s="2" t="s">
        <v>594</v>
      </c>
      <c r="C209" s="2" t="s">
        <v>34</v>
      </c>
      <c r="D209" s="2" t="s">
        <v>82</v>
      </c>
      <c r="E209" s="2" t="s">
        <v>94</v>
      </c>
      <c r="F209" s="2" t="s">
        <v>82</v>
      </c>
      <c r="G209" s="6">
        <v>45372.0</v>
      </c>
      <c r="H209" s="2" t="s">
        <v>44</v>
      </c>
      <c r="I209" s="2" t="s">
        <v>29</v>
      </c>
      <c r="J209" s="2">
        <v>24137.83</v>
      </c>
    </row>
    <row r="210">
      <c r="A210" s="2" t="s">
        <v>595</v>
      </c>
      <c r="B210" s="2" t="s">
        <v>596</v>
      </c>
      <c r="C210" s="2" t="s">
        <v>34</v>
      </c>
      <c r="D210" s="2" t="s">
        <v>31</v>
      </c>
      <c r="E210" s="2" t="s">
        <v>31</v>
      </c>
      <c r="F210" s="2" t="s">
        <v>31</v>
      </c>
      <c r="G210" s="6">
        <v>45615.0</v>
      </c>
      <c r="H210" s="2" t="s">
        <v>142</v>
      </c>
      <c r="I210" s="2" t="s">
        <v>39</v>
      </c>
      <c r="J210" s="2">
        <v>25966.36</v>
      </c>
    </row>
    <row r="211">
      <c r="A211" s="2" t="s">
        <v>598</v>
      </c>
      <c r="B211" s="2" t="s">
        <v>599</v>
      </c>
      <c r="C211" s="2" t="s">
        <v>34</v>
      </c>
      <c r="D211" s="2" t="s">
        <v>51</v>
      </c>
      <c r="E211" s="2" t="s">
        <v>50</v>
      </c>
      <c r="F211" s="2" t="s">
        <v>51</v>
      </c>
      <c r="G211" s="6">
        <v>46084.0</v>
      </c>
      <c r="H211" s="2" t="s">
        <v>44</v>
      </c>
      <c r="I211" s="2" t="s">
        <v>29</v>
      </c>
      <c r="J211" s="2">
        <v>11782.26</v>
      </c>
    </row>
    <row r="212">
      <c r="A212" s="2" t="s">
        <v>600</v>
      </c>
      <c r="B212" s="2" t="s">
        <v>601</v>
      </c>
      <c r="C212" s="2" t="s">
        <v>34</v>
      </c>
      <c r="D212" s="2" t="s">
        <v>54</v>
      </c>
      <c r="E212" s="2" t="s">
        <v>55</v>
      </c>
      <c r="F212" s="2" t="s">
        <v>54</v>
      </c>
      <c r="G212" s="6">
        <v>45416.0</v>
      </c>
      <c r="H212" s="2" t="s">
        <v>87</v>
      </c>
      <c r="I212" s="2" t="s">
        <v>67</v>
      </c>
      <c r="J212" s="2">
        <v>20614.11</v>
      </c>
    </row>
    <row r="213">
      <c r="A213" s="2" t="s">
        <v>603</v>
      </c>
      <c r="B213" s="2" t="s">
        <v>604</v>
      </c>
      <c r="C213" s="2" t="s">
        <v>34</v>
      </c>
      <c r="D213" s="2" t="s">
        <v>82</v>
      </c>
      <c r="E213" s="2" t="s">
        <v>81</v>
      </c>
      <c r="F213" s="2" t="s">
        <v>82</v>
      </c>
      <c r="G213" s="6">
        <v>45570.0</v>
      </c>
      <c r="H213" s="2" t="s">
        <v>49</v>
      </c>
      <c r="I213" s="2" t="s">
        <v>39</v>
      </c>
      <c r="J213" s="2">
        <v>22988.71</v>
      </c>
    </row>
    <row r="214">
      <c r="A214" s="2" t="s">
        <v>605</v>
      </c>
      <c r="B214" s="2" t="s">
        <v>101</v>
      </c>
      <c r="C214" s="2" t="s">
        <v>34</v>
      </c>
      <c r="D214" s="2" t="s">
        <v>111</v>
      </c>
      <c r="E214" s="2" t="s">
        <v>24</v>
      </c>
      <c r="F214" s="2" t="s">
        <v>111</v>
      </c>
      <c r="G214" s="6">
        <v>45366.0</v>
      </c>
      <c r="H214" s="2" t="s">
        <v>44</v>
      </c>
      <c r="I214" s="2" t="s">
        <v>29</v>
      </c>
      <c r="J214" s="2">
        <v>10279.83</v>
      </c>
    </row>
    <row r="215">
      <c r="A215" s="2" t="s">
        <v>607</v>
      </c>
      <c r="B215" s="2" t="s">
        <v>608</v>
      </c>
      <c r="C215" s="2" t="s">
        <v>22</v>
      </c>
      <c r="D215" s="2" t="s">
        <v>62</v>
      </c>
      <c r="E215" s="2" t="s">
        <v>24</v>
      </c>
      <c r="F215" s="2" t="s">
        <v>111</v>
      </c>
      <c r="G215" s="6">
        <v>45320.0</v>
      </c>
      <c r="H215" s="2" t="s">
        <v>28</v>
      </c>
      <c r="I215" s="2" t="s">
        <v>29</v>
      </c>
      <c r="J215" s="2">
        <v>7561.43</v>
      </c>
    </row>
    <row r="216">
      <c r="A216" s="2" t="s">
        <v>609</v>
      </c>
      <c r="B216" s="2" t="s">
        <v>610</v>
      </c>
      <c r="C216" s="2" t="s">
        <v>22</v>
      </c>
      <c r="D216" s="2" t="s">
        <v>85</v>
      </c>
      <c r="E216" s="2" t="s">
        <v>111</v>
      </c>
      <c r="F216" s="2" t="s">
        <v>111</v>
      </c>
      <c r="G216" s="6">
        <v>46119.0</v>
      </c>
      <c r="H216" s="2" t="s">
        <v>66</v>
      </c>
      <c r="I216" s="2" t="s">
        <v>67</v>
      </c>
      <c r="J216" s="2">
        <v>26122.63</v>
      </c>
    </row>
    <row r="217">
      <c r="A217" s="2" t="s">
        <v>611</v>
      </c>
      <c r="B217" s="2" t="s">
        <v>277</v>
      </c>
      <c r="C217" s="2" t="s">
        <v>34</v>
      </c>
      <c r="D217" s="2" t="s">
        <v>54</v>
      </c>
      <c r="E217" s="2" t="s">
        <v>124</v>
      </c>
      <c r="F217" s="2" t="s">
        <v>54</v>
      </c>
      <c r="G217" s="6">
        <v>45441.0</v>
      </c>
      <c r="H217" s="2" t="s">
        <v>87</v>
      </c>
      <c r="I217" s="2" t="s">
        <v>67</v>
      </c>
      <c r="J217" s="2">
        <v>20306.62</v>
      </c>
    </row>
    <row r="218">
      <c r="A218" s="2" t="s">
        <v>612</v>
      </c>
      <c r="B218" s="2" t="s">
        <v>613</v>
      </c>
      <c r="C218" s="2" t="s">
        <v>34</v>
      </c>
      <c r="D218" s="2" t="s">
        <v>51</v>
      </c>
      <c r="E218" s="2" t="s">
        <v>74</v>
      </c>
      <c r="F218" s="2" t="s">
        <v>51</v>
      </c>
      <c r="G218" s="6">
        <v>45295.0</v>
      </c>
      <c r="H218" s="2" t="s">
        <v>28</v>
      </c>
      <c r="I218" s="2" t="s">
        <v>29</v>
      </c>
      <c r="J218" s="2">
        <v>18194.23</v>
      </c>
    </row>
    <row r="219">
      <c r="A219" s="2" t="s">
        <v>614</v>
      </c>
      <c r="B219" s="2" t="s">
        <v>615</v>
      </c>
      <c r="C219" s="2" t="s">
        <v>34</v>
      </c>
      <c r="D219" s="2" t="s">
        <v>54</v>
      </c>
      <c r="E219" s="2" t="s">
        <v>130</v>
      </c>
      <c r="F219" s="2" t="s">
        <v>54</v>
      </c>
      <c r="G219" s="6">
        <v>45642.0</v>
      </c>
      <c r="H219" s="2" t="s">
        <v>38</v>
      </c>
      <c r="I219" s="2" t="s">
        <v>39</v>
      </c>
      <c r="J219" s="2">
        <v>29156.65</v>
      </c>
    </row>
    <row r="220">
      <c r="A220" s="2" t="s">
        <v>617</v>
      </c>
      <c r="B220" s="2" t="s">
        <v>618</v>
      </c>
      <c r="C220" s="2" t="s">
        <v>22</v>
      </c>
      <c r="D220" s="2" t="s">
        <v>85</v>
      </c>
      <c r="E220" s="2" t="s">
        <v>97</v>
      </c>
      <c r="F220" s="2" t="s">
        <v>111</v>
      </c>
      <c r="G220" s="6">
        <v>45476.0</v>
      </c>
      <c r="H220" s="2" t="s">
        <v>58</v>
      </c>
      <c r="I220" s="2" t="s">
        <v>59</v>
      </c>
      <c r="J220" s="2">
        <v>17937.31</v>
      </c>
    </row>
    <row r="221">
      <c r="A221" s="2" t="s">
        <v>619</v>
      </c>
      <c r="B221" s="2" t="s">
        <v>620</v>
      </c>
      <c r="C221" s="2" t="s">
        <v>22</v>
      </c>
      <c r="D221" s="2" t="s">
        <v>62</v>
      </c>
      <c r="E221" s="2" t="s">
        <v>97</v>
      </c>
      <c r="F221" s="2" t="s">
        <v>111</v>
      </c>
      <c r="G221" s="6">
        <v>46149.0</v>
      </c>
      <c r="H221" s="2" t="s">
        <v>87</v>
      </c>
      <c r="I221" s="2" t="s">
        <v>67</v>
      </c>
      <c r="J221" s="2">
        <v>11005.39</v>
      </c>
    </row>
    <row r="222">
      <c r="A222" s="2" t="s">
        <v>621</v>
      </c>
      <c r="B222" s="2" t="s">
        <v>622</v>
      </c>
      <c r="C222" s="2" t="s">
        <v>34</v>
      </c>
      <c r="D222" s="2" t="s">
        <v>90</v>
      </c>
      <c r="E222" s="2" t="s">
        <v>104</v>
      </c>
      <c r="F222" s="2" t="s">
        <v>90</v>
      </c>
      <c r="G222" s="6">
        <v>45421.0</v>
      </c>
      <c r="H222" s="2" t="s">
        <v>87</v>
      </c>
      <c r="I222" s="2" t="s">
        <v>67</v>
      </c>
      <c r="J222" s="2">
        <v>14834.22</v>
      </c>
    </row>
    <row r="223">
      <c r="A223" s="2" t="s">
        <v>624</v>
      </c>
      <c r="B223" s="2" t="s">
        <v>399</v>
      </c>
      <c r="C223" s="2" t="s">
        <v>22</v>
      </c>
      <c r="D223" s="2" t="s">
        <v>62</v>
      </c>
      <c r="E223" s="2" t="s">
        <v>97</v>
      </c>
      <c r="F223" s="2" t="s">
        <v>111</v>
      </c>
      <c r="G223" s="6">
        <v>45421.0</v>
      </c>
      <c r="H223" s="2" t="s">
        <v>87</v>
      </c>
      <c r="I223" s="2" t="s">
        <v>67</v>
      </c>
      <c r="J223" s="2">
        <v>9330.22</v>
      </c>
    </row>
    <row r="224">
      <c r="A224" s="2" t="s">
        <v>625</v>
      </c>
      <c r="B224" s="2" t="s">
        <v>626</v>
      </c>
      <c r="C224" s="2" t="s">
        <v>34</v>
      </c>
      <c r="D224" s="2" t="s">
        <v>90</v>
      </c>
      <c r="E224" s="2" t="s">
        <v>90</v>
      </c>
      <c r="F224" s="2" t="s">
        <v>90</v>
      </c>
      <c r="G224" s="6">
        <v>45652.0</v>
      </c>
      <c r="H224" s="2" t="s">
        <v>38</v>
      </c>
      <c r="I224" s="2" t="s">
        <v>39</v>
      </c>
      <c r="J224" s="2">
        <v>15131.57</v>
      </c>
    </row>
    <row r="225">
      <c r="A225" s="2" t="s">
        <v>627</v>
      </c>
      <c r="B225" s="2" t="s">
        <v>308</v>
      </c>
      <c r="C225" s="2" t="s">
        <v>22</v>
      </c>
      <c r="D225" s="2" t="s">
        <v>62</v>
      </c>
      <c r="E225" s="2" t="s">
        <v>24</v>
      </c>
      <c r="F225" s="2" t="s">
        <v>111</v>
      </c>
      <c r="G225" s="6">
        <v>45351.0</v>
      </c>
      <c r="H225" s="2" t="s">
        <v>126</v>
      </c>
      <c r="I225" s="2" t="s">
        <v>29</v>
      </c>
      <c r="J225" s="2">
        <v>19938.15</v>
      </c>
    </row>
    <row r="226">
      <c r="A226" s="2" t="s">
        <v>628</v>
      </c>
      <c r="B226" s="2" t="s">
        <v>629</v>
      </c>
      <c r="C226" s="2" t="s">
        <v>34</v>
      </c>
      <c r="D226" s="2" t="s">
        <v>51</v>
      </c>
      <c r="E226" s="2" t="s">
        <v>68</v>
      </c>
      <c r="F226" s="2" t="s">
        <v>51</v>
      </c>
      <c r="G226" s="6">
        <v>45324.0</v>
      </c>
      <c r="H226" s="2" t="s">
        <v>126</v>
      </c>
      <c r="I226" s="2" t="s">
        <v>29</v>
      </c>
      <c r="J226" s="2">
        <v>41722.89</v>
      </c>
    </row>
    <row r="227">
      <c r="A227" s="2" t="s">
        <v>631</v>
      </c>
      <c r="B227" s="2" t="s">
        <v>128</v>
      </c>
      <c r="C227" s="2" t="s">
        <v>22</v>
      </c>
      <c r="D227" s="2" t="s">
        <v>23</v>
      </c>
      <c r="E227" s="2" t="s">
        <v>24</v>
      </c>
      <c r="F227" s="2" t="s">
        <v>111</v>
      </c>
      <c r="G227" s="6">
        <v>45306.0</v>
      </c>
      <c r="H227" s="2" t="s">
        <v>28</v>
      </c>
      <c r="I227" s="2" t="s">
        <v>29</v>
      </c>
      <c r="J227" s="2">
        <v>90646.1</v>
      </c>
    </row>
    <row r="228">
      <c r="A228" s="2" t="s">
        <v>632</v>
      </c>
      <c r="B228" s="2" t="s">
        <v>633</v>
      </c>
      <c r="C228" s="2" t="s">
        <v>22</v>
      </c>
      <c r="D228" s="2" t="s">
        <v>62</v>
      </c>
      <c r="E228" s="2" t="s">
        <v>24</v>
      </c>
      <c r="F228" s="2" t="s">
        <v>111</v>
      </c>
      <c r="G228" s="6">
        <v>45500.0</v>
      </c>
      <c r="H228" s="2" t="s">
        <v>58</v>
      </c>
      <c r="I228" s="2" t="s">
        <v>59</v>
      </c>
      <c r="J228" s="2">
        <v>4507.14</v>
      </c>
    </row>
    <row r="229">
      <c r="A229" s="2" t="s">
        <v>634</v>
      </c>
      <c r="B229" s="2" t="s">
        <v>635</v>
      </c>
      <c r="C229" s="2" t="s">
        <v>22</v>
      </c>
      <c r="D229" s="2" t="s">
        <v>85</v>
      </c>
      <c r="E229" s="2" t="s">
        <v>63</v>
      </c>
      <c r="F229" s="2" t="s">
        <v>111</v>
      </c>
      <c r="G229" s="6">
        <v>45354.0</v>
      </c>
      <c r="H229" s="2" t="s">
        <v>44</v>
      </c>
      <c r="I229" s="2" t="s">
        <v>29</v>
      </c>
      <c r="J229" s="2">
        <v>2368.35</v>
      </c>
    </row>
    <row r="230">
      <c r="A230" s="2" t="s">
        <v>636</v>
      </c>
      <c r="B230" s="2" t="s">
        <v>311</v>
      </c>
      <c r="C230" s="2" t="s">
        <v>22</v>
      </c>
      <c r="D230" s="2" t="s">
        <v>23</v>
      </c>
      <c r="E230" s="2" t="s">
        <v>111</v>
      </c>
      <c r="F230" s="2" t="s">
        <v>111</v>
      </c>
      <c r="G230" s="6">
        <v>45580.0</v>
      </c>
      <c r="H230" s="2" t="s">
        <v>49</v>
      </c>
      <c r="I230" s="2" t="s">
        <v>39</v>
      </c>
      <c r="J230" s="2">
        <v>194869.55</v>
      </c>
    </row>
    <row r="231">
      <c r="A231" s="2" t="s">
        <v>637</v>
      </c>
      <c r="B231" s="2" t="s">
        <v>89</v>
      </c>
      <c r="C231" s="2" t="s">
        <v>34</v>
      </c>
      <c r="D231" s="2" t="s">
        <v>82</v>
      </c>
      <c r="E231" s="2" t="s">
        <v>82</v>
      </c>
      <c r="F231" s="2" t="s">
        <v>82</v>
      </c>
      <c r="G231" s="6">
        <v>45550.0</v>
      </c>
      <c r="H231" s="2" t="s">
        <v>73</v>
      </c>
      <c r="I231" s="2" t="s">
        <v>59</v>
      </c>
      <c r="J231" s="2">
        <v>13862.94</v>
      </c>
    </row>
    <row r="232">
      <c r="A232" s="2" t="s">
        <v>638</v>
      </c>
      <c r="B232" s="2" t="s">
        <v>639</v>
      </c>
      <c r="C232" s="2" t="s">
        <v>34</v>
      </c>
      <c r="D232" s="2" t="s">
        <v>111</v>
      </c>
      <c r="E232" s="2" t="s">
        <v>111</v>
      </c>
      <c r="F232" s="2" t="s">
        <v>111</v>
      </c>
      <c r="G232" s="6">
        <v>45479.0</v>
      </c>
      <c r="H232" s="2" t="s">
        <v>58</v>
      </c>
      <c r="I232" s="2" t="s">
        <v>59</v>
      </c>
      <c r="J232" s="2">
        <v>49175.12</v>
      </c>
    </row>
    <row r="233">
      <c r="A233" s="2" t="s">
        <v>641</v>
      </c>
      <c r="B233" s="2" t="s">
        <v>413</v>
      </c>
      <c r="C233" s="2" t="s">
        <v>22</v>
      </c>
      <c r="D233" s="2" t="s">
        <v>85</v>
      </c>
      <c r="E233" s="2" t="s">
        <v>24</v>
      </c>
      <c r="F233" s="2" t="s">
        <v>111</v>
      </c>
      <c r="G233" s="6">
        <v>45413.0</v>
      </c>
      <c r="H233" s="2" t="s">
        <v>87</v>
      </c>
      <c r="I233" s="2" t="s">
        <v>67</v>
      </c>
      <c r="J233" s="2">
        <v>14837.5</v>
      </c>
    </row>
    <row r="234">
      <c r="A234" s="2" t="s">
        <v>642</v>
      </c>
      <c r="B234" s="2" t="s">
        <v>89</v>
      </c>
      <c r="C234" s="2" t="s">
        <v>34</v>
      </c>
      <c r="D234" s="2" t="s">
        <v>111</v>
      </c>
      <c r="E234" s="2" t="s">
        <v>24</v>
      </c>
      <c r="F234" s="2" t="s">
        <v>111</v>
      </c>
      <c r="G234" s="6">
        <v>45550.0</v>
      </c>
      <c r="H234" s="2" t="s">
        <v>73</v>
      </c>
      <c r="I234" s="2" t="s">
        <v>59</v>
      </c>
      <c r="J234" s="2">
        <v>12223.72</v>
      </c>
    </row>
    <row r="235">
      <c r="A235" s="2" t="s">
        <v>643</v>
      </c>
      <c r="B235" s="2" t="s">
        <v>644</v>
      </c>
      <c r="C235" s="2" t="s">
        <v>34</v>
      </c>
      <c r="D235" s="2" t="s">
        <v>82</v>
      </c>
      <c r="E235" s="2" t="s">
        <v>418</v>
      </c>
      <c r="F235" s="2" t="s">
        <v>82</v>
      </c>
      <c r="G235" s="6">
        <v>45331.0</v>
      </c>
      <c r="H235" s="2" t="s">
        <v>126</v>
      </c>
      <c r="I235" s="2" t="s">
        <v>29</v>
      </c>
      <c r="J235" s="2">
        <v>13352.11</v>
      </c>
    </row>
    <row r="236">
      <c r="A236" s="2" t="s">
        <v>645</v>
      </c>
      <c r="B236" s="2" t="s">
        <v>646</v>
      </c>
      <c r="C236" s="2" t="s">
        <v>34</v>
      </c>
      <c r="D236" s="2" t="s">
        <v>54</v>
      </c>
      <c r="E236" s="2" t="s">
        <v>130</v>
      </c>
      <c r="F236" s="2" t="s">
        <v>54</v>
      </c>
      <c r="G236" s="6">
        <v>45321.0</v>
      </c>
      <c r="H236" s="2" t="s">
        <v>28</v>
      </c>
      <c r="I236" s="2" t="s">
        <v>29</v>
      </c>
      <c r="J236" s="2">
        <v>49832.06</v>
      </c>
    </row>
    <row r="237">
      <c r="A237" s="2" t="s">
        <v>647</v>
      </c>
      <c r="B237" s="2" t="s">
        <v>648</v>
      </c>
      <c r="C237" s="2" t="s">
        <v>34</v>
      </c>
      <c r="D237" s="2" t="s">
        <v>54</v>
      </c>
      <c r="E237" s="2" t="s">
        <v>130</v>
      </c>
      <c r="F237" s="2" t="s">
        <v>54</v>
      </c>
      <c r="G237" s="6">
        <v>45454.0</v>
      </c>
      <c r="H237" s="2" t="s">
        <v>113</v>
      </c>
      <c r="I237" s="2" t="s">
        <v>67</v>
      </c>
      <c r="J237" s="2">
        <v>49637.84</v>
      </c>
    </row>
    <row r="238">
      <c r="A238" s="2" t="s">
        <v>650</v>
      </c>
      <c r="B238" s="2" t="s">
        <v>651</v>
      </c>
      <c r="C238" s="2" t="s">
        <v>34</v>
      </c>
      <c r="D238" s="2" t="s">
        <v>82</v>
      </c>
      <c r="E238" s="2" t="s">
        <v>94</v>
      </c>
      <c r="F238" s="2" t="s">
        <v>82</v>
      </c>
      <c r="G238" s="6">
        <v>46000.0</v>
      </c>
      <c r="H238" s="2" t="s">
        <v>38</v>
      </c>
      <c r="I238" s="2" t="s">
        <v>39</v>
      </c>
      <c r="J238" s="2">
        <v>19165.74</v>
      </c>
    </row>
    <row r="239">
      <c r="A239" s="2" t="s">
        <v>652</v>
      </c>
      <c r="B239" s="2" t="s">
        <v>653</v>
      </c>
      <c r="C239" s="2" t="s">
        <v>22</v>
      </c>
      <c r="D239" s="2" t="s">
        <v>23</v>
      </c>
      <c r="E239" s="2" t="s">
        <v>111</v>
      </c>
      <c r="F239" s="2" t="s">
        <v>111</v>
      </c>
      <c r="G239" s="6">
        <v>45337.0</v>
      </c>
      <c r="H239" s="2" t="s">
        <v>126</v>
      </c>
      <c r="I239" s="2" t="s">
        <v>29</v>
      </c>
      <c r="J239" s="2">
        <v>99375.27</v>
      </c>
    </row>
    <row r="240">
      <c r="A240" s="2" t="s">
        <v>654</v>
      </c>
      <c r="B240" s="2" t="s">
        <v>655</v>
      </c>
      <c r="C240" s="2" t="s">
        <v>34</v>
      </c>
      <c r="D240" s="2" t="s">
        <v>51</v>
      </c>
      <c r="E240" s="2" t="s">
        <v>50</v>
      </c>
      <c r="F240" s="2" t="s">
        <v>51</v>
      </c>
      <c r="G240" s="6">
        <v>45522.0</v>
      </c>
      <c r="H240" s="2" t="s">
        <v>108</v>
      </c>
      <c r="I240" s="2" t="s">
        <v>59</v>
      </c>
      <c r="J240" s="2">
        <v>18393.23</v>
      </c>
    </row>
    <row r="241">
      <c r="A241" s="2" t="s">
        <v>657</v>
      </c>
      <c r="B241" s="2" t="s">
        <v>106</v>
      </c>
      <c r="C241" s="2" t="s">
        <v>34</v>
      </c>
      <c r="D241" s="2" t="s">
        <v>54</v>
      </c>
      <c r="E241" s="2" t="s">
        <v>124</v>
      </c>
      <c r="F241" s="2" t="s">
        <v>54</v>
      </c>
      <c r="G241" s="6">
        <v>45519.0</v>
      </c>
      <c r="H241" s="2" t="s">
        <v>108</v>
      </c>
      <c r="I241" s="2" t="s">
        <v>59</v>
      </c>
      <c r="J241" s="2">
        <v>55473.4</v>
      </c>
    </row>
    <row r="242">
      <c r="A242" s="2" t="s">
        <v>658</v>
      </c>
      <c r="B242" s="2" t="s">
        <v>659</v>
      </c>
      <c r="C242" s="2" t="s">
        <v>34</v>
      </c>
      <c r="D242" s="2" t="s">
        <v>54</v>
      </c>
      <c r="E242" s="2" t="s">
        <v>196</v>
      </c>
      <c r="F242" s="2" t="s">
        <v>54</v>
      </c>
      <c r="G242" s="6">
        <v>45328.0</v>
      </c>
      <c r="H242" s="2" t="s">
        <v>126</v>
      </c>
      <c r="I242" s="2" t="s">
        <v>29</v>
      </c>
      <c r="J242" s="2">
        <v>22588.04</v>
      </c>
    </row>
    <row r="243">
      <c r="A243" s="2" t="s">
        <v>660</v>
      </c>
      <c r="B243" s="2" t="s">
        <v>89</v>
      </c>
      <c r="C243" s="2" t="s">
        <v>34</v>
      </c>
      <c r="D243" s="2" t="s">
        <v>51</v>
      </c>
      <c r="E243" s="2" t="s">
        <v>50</v>
      </c>
      <c r="F243" s="2" t="s">
        <v>51</v>
      </c>
      <c r="G243" s="6">
        <v>45550.0</v>
      </c>
      <c r="H243" s="2" t="s">
        <v>73</v>
      </c>
      <c r="I243" s="2" t="s">
        <v>59</v>
      </c>
      <c r="J243" s="2">
        <v>9794.07</v>
      </c>
    </row>
    <row r="244">
      <c r="A244" s="2" t="s">
        <v>661</v>
      </c>
      <c r="B244" s="2" t="s">
        <v>662</v>
      </c>
      <c r="C244" s="2" t="s">
        <v>22</v>
      </c>
      <c r="D244" s="2" t="s">
        <v>85</v>
      </c>
      <c r="E244" s="2" t="s">
        <v>24</v>
      </c>
      <c r="F244" s="2" t="s">
        <v>111</v>
      </c>
      <c r="G244" s="6">
        <v>45617.0</v>
      </c>
      <c r="H244" s="2" t="s">
        <v>142</v>
      </c>
      <c r="I244" s="2" t="s">
        <v>39</v>
      </c>
      <c r="J244" s="2">
        <v>24341.43</v>
      </c>
    </row>
    <row r="245">
      <c r="A245" s="2" t="s">
        <v>663</v>
      </c>
      <c r="B245" s="2" t="s">
        <v>664</v>
      </c>
      <c r="C245" s="2" t="s">
        <v>22</v>
      </c>
      <c r="D245" s="2" t="s">
        <v>85</v>
      </c>
      <c r="E245" s="2" t="s">
        <v>97</v>
      </c>
      <c r="F245" s="2" t="s">
        <v>111</v>
      </c>
      <c r="G245" s="6">
        <v>45652.0</v>
      </c>
      <c r="H245" s="2" t="s">
        <v>38</v>
      </c>
      <c r="I245" s="2" t="s">
        <v>39</v>
      </c>
      <c r="J245" s="2">
        <v>23976.26</v>
      </c>
    </row>
    <row r="246">
      <c r="A246" s="2" t="s">
        <v>665</v>
      </c>
      <c r="B246" s="2" t="s">
        <v>666</v>
      </c>
      <c r="C246" s="2" t="s">
        <v>34</v>
      </c>
      <c r="D246" s="2" t="s">
        <v>31</v>
      </c>
      <c r="E246" s="2" t="s">
        <v>30</v>
      </c>
      <c r="F246" s="2" t="s">
        <v>31</v>
      </c>
      <c r="G246" s="6">
        <v>45293.0</v>
      </c>
      <c r="H246" s="2" t="s">
        <v>28</v>
      </c>
      <c r="I246" s="2" t="s">
        <v>29</v>
      </c>
      <c r="J246" s="2">
        <v>13245.11</v>
      </c>
    </row>
    <row r="247">
      <c r="A247" s="2" t="s">
        <v>667</v>
      </c>
      <c r="B247" s="2" t="s">
        <v>668</v>
      </c>
      <c r="C247" s="2" t="s">
        <v>34</v>
      </c>
      <c r="D247" s="2" t="s">
        <v>82</v>
      </c>
      <c r="E247" s="2" t="s">
        <v>82</v>
      </c>
      <c r="F247" s="2" t="s">
        <v>82</v>
      </c>
      <c r="G247" s="6">
        <v>45603.0</v>
      </c>
      <c r="H247" s="2" t="s">
        <v>142</v>
      </c>
      <c r="I247" s="2" t="s">
        <v>39</v>
      </c>
      <c r="J247" s="2">
        <v>19965.11</v>
      </c>
    </row>
    <row r="248">
      <c r="A248" s="2" t="s">
        <v>669</v>
      </c>
      <c r="B248" s="2" t="s">
        <v>332</v>
      </c>
      <c r="C248" s="2" t="s">
        <v>34</v>
      </c>
      <c r="D248" s="2" t="s">
        <v>51</v>
      </c>
      <c r="E248" s="2" t="s">
        <v>68</v>
      </c>
      <c r="F248" s="2" t="s">
        <v>51</v>
      </c>
      <c r="G248" s="6">
        <v>45458.0</v>
      </c>
      <c r="H248" s="2" t="s">
        <v>113</v>
      </c>
      <c r="I248" s="2" t="s">
        <v>67</v>
      </c>
      <c r="J248" s="2">
        <v>19444.95</v>
      </c>
    </row>
    <row r="249">
      <c r="A249" s="2" t="s">
        <v>671</v>
      </c>
      <c r="B249" s="2" t="s">
        <v>672</v>
      </c>
      <c r="C249" s="2" t="s">
        <v>34</v>
      </c>
      <c r="D249" s="2" t="s">
        <v>82</v>
      </c>
      <c r="E249" s="2" t="s">
        <v>418</v>
      </c>
      <c r="F249" s="2" t="s">
        <v>82</v>
      </c>
      <c r="G249" s="6">
        <v>45536.0</v>
      </c>
      <c r="H249" s="2" t="s">
        <v>73</v>
      </c>
      <c r="I249" s="2" t="s">
        <v>59</v>
      </c>
      <c r="J249" s="2">
        <v>19070.03</v>
      </c>
    </row>
    <row r="250">
      <c r="A250" s="2" t="s">
        <v>673</v>
      </c>
      <c r="B250" s="2" t="s">
        <v>674</v>
      </c>
      <c r="C250" s="2" t="s">
        <v>34</v>
      </c>
      <c r="D250" s="2" t="s">
        <v>82</v>
      </c>
      <c r="E250" s="2" t="s">
        <v>99</v>
      </c>
      <c r="F250" s="2" t="s">
        <v>82</v>
      </c>
      <c r="G250" s="6">
        <v>45405.0</v>
      </c>
      <c r="H250" s="2" t="s">
        <v>66</v>
      </c>
      <c r="I250" s="2" t="s">
        <v>67</v>
      </c>
      <c r="J250" s="2">
        <v>17926.66</v>
      </c>
    </row>
    <row r="251">
      <c r="A251" s="2" t="s">
        <v>675</v>
      </c>
      <c r="B251" s="2" t="s">
        <v>676</v>
      </c>
      <c r="C251" s="2" t="s">
        <v>34</v>
      </c>
      <c r="D251" s="2" t="s">
        <v>31</v>
      </c>
      <c r="E251" s="2" t="s">
        <v>31</v>
      </c>
      <c r="F251" s="2" t="s">
        <v>31</v>
      </c>
      <c r="G251" s="6">
        <v>45506.0</v>
      </c>
      <c r="H251" s="2" t="s">
        <v>108</v>
      </c>
      <c r="I251" s="2" t="s">
        <v>59</v>
      </c>
      <c r="J251" s="2">
        <v>29272.484</v>
      </c>
    </row>
    <row r="252">
      <c r="A252" s="2" t="s">
        <v>677</v>
      </c>
      <c r="B252" s="2" t="s">
        <v>678</v>
      </c>
      <c r="C252" s="2" t="s">
        <v>34</v>
      </c>
      <c r="D252" s="2" t="s">
        <v>51</v>
      </c>
      <c r="E252" s="2" t="s">
        <v>68</v>
      </c>
      <c r="F252" s="2" t="s">
        <v>51</v>
      </c>
      <c r="G252" s="6">
        <v>45493.0</v>
      </c>
      <c r="H252" s="2" t="s">
        <v>58</v>
      </c>
      <c r="I252" s="2" t="s">
        <v>59</v>
      </c>
      <c r="J252" s="2">
        <v>15838.94</v>
      </c>
    </row>
    <row r="253">
      <c r="A253" s="2" t="s">
        <v>679</v>
      </c>
      <c r="B253" s="2" t="s">
        <v>680</v>
      </c>
      <c r="C253" s="2" t="s">
        <v>34</v>
      </c>
      <c r="D253" s="2" t="s">
        <v>90</v>
      </c>
      <c r="E253" s="2" t="s">
        <v>114</v>
      </c>
      <c r="F253" s="2" t="s">
        <v>90</v>
      </c>
      <c r="G253" s="6">
        <v>45387.0</v>
      </c>
      <c r="H253" s="2" t="s">
        <v>66</v>
      </c>
      <c r="I253" s="2" t="s">
        <v>67</v>
      </c>
      <c r="J253" s="2">
        <v>18545.22</v>
      </c>
    </row>
    <row r="254">
      <c r="A254" s="2" t="s">
        <v>682</v>
      </c>
      <c r="B254" s="2" t="s">
        <v>332</v>
      </c>
      <c r="C254" s="2" t="s">
        <v>34</v>
      </c>
      <c r="D254" s="2" t="s">
        <v>31</v>
      </c>
      <c r="E254" s="2" t="s">
        <v>35</v>
      </c>
      <c r="F254" s="2" t="s">
        <v>31</v>
      </c>
      <c r="G254" s="6">
        <v>45458.0</v>
      </c>
      <c r="H254" s="2" t="s">
        <v>113</v>
      </c>
      <c r="I254" s="2" t="s">
        <v>67</v>
      </c>
      <c r="J254" s="2">
        <v>12953.72</v>
      </c>
    </row>
    <row r="255">
      <c r="A255" s="2" t="s">
        <v>683</v>
      </c>
      <c r="B255" s="2" t="s">
        <v>684</v>
      </c>
      <c r="C255" s="2" t="s">
        <v>22</v>
      </c>
      <c r="D255" s="2" t="s">
        <v>23</v>
      </c>
      <c r="E255" s="2" t="s">
        <v>24</v>
      </c>
      <c r="F255" s="2" t="s">
        <v>111</v>
      </c>
      <c r="G255" s="6">
        <v>45611.0</v>
      </c>
      <c r="H255" s="2" t="s">
        <v>142</v>
      </c>
      <c r="I255" s="2" t="s">
        <v>39</v>
      </c>
      <c r="J255" s="2">
        <v>164652.69</v>
      </c>
    </row>
    <row r="256">
      <c r="A256" s="2" t="s">
        <v>685</v>
      </c>
      <c r="B256" s="2" t="s">
        <v>686</v>
      </c>
      <c r="C256" s="2" t="s">
        <v>34</v>
      </c>
      <c r="D256" s="2" t="s">
        <v>82</v>
      </c>
      <c r="E256" s="2" t="s">
        <v>99</v>
      </c>
      <c r="F256" s="2" t="s">
        <v>82</v>
      </c>
      <c r="G256" s="6">
        <v>45906.0</v>
      </c>
      <c r="H256" s="2" t="s">
        <v>73</v>
      </c>
      <c r="I256" s="2" t="s">
        <v>59</v>
      </c>
      <c r="J256" s="2">
        <v>38292.95</v>
      </c>
    </row>
    <row r="257">
      <c r="A257" s="2" t="s">
        <v>687</v>
      </c>
      <c r="B257" s="2" t="s">
        <v>688</v>
      </c>
      <c r="C257" s="2" t="s">
        <v>34</v>
      </c>
      <c r="D257" s="2" t="s">
        <v>82</v>
      </c>
      <c r="E257" s="2" t="s">
        <v>94</v>
      </c>
      <c r="F257" s="2" t="s">
        <v>82</v>
      </c>
      <c r="G257" s="6">
        <v>45499.0</v>
      </c>
      <c r="H257" s="2" t="s">
        <v>58</v>
      </c>
      <c r="I257" s="2" t="s">
        <v>59</v>
      </c>
      <c r="J257" s="2">
        <v>38330.02</v>
      </c>
    </row>
    <row r="258">
      <c r="A258" s="2" t="s">
        <v>689</v>
      </c>
      <c r="B258" s="2" t="s">
        <v>690</v>
      </c>
      <c r="C258" s="2" t="s">
        <v>22</v>
      </c>
      <c r="D258" s="2" t="s">
        <v>62</v>
      </c>
      <c r="E258" s="2" t="s">
        <v>97</v>
      </c>
      <c r="F258" s="2" t="s">
        <v>111</v>
      </c>
      <c r="G258" s="6">
        <v>45325.0</v>
      </c>
      <c r="H258" s="2" t="s">
        <v>126</v>
      </c>
      <c r="I258" s="2" t="s">
        <v>29</v>
      </c>
      <c r="J258" s="2">
        <v>24309.28</v>
      </c>
    </row>
    <row r="259">
      <c r="A259" s="2" t="s">
        <v>691</v>
      </c>
      <c r="B259" s="2" t="s">
        <v>692</v>
      </c>
      <c r="C259" s="2" t="s">
        <v>34</v>
      </c>
      <c r="D259" s="2" t="s">
        <v>111</v>
      </c>
      <c r="E259" s="2" t="s">
        <v>97</v>
      </c>
      <c r="F259" s="2" t="s">
        <v>111</v>
      </c>
      <c r="G259" s="6">
        <v>45306.0</v>
      </c>
      <c r="H259" s="2" t="s">
        <v>28</v>
      </c>
      <c r="I259" s="2" t="s">
        <v>29</v>
      </c>
      <c r="J259" s="2">
        <v>19254.34</v>
      </c>
    </row>
    <row r="260">
      <c r="A260" s="2" t="s">
        <v>693</v>
      </c>
      <c r="B260" s="2" t="s">
        <v>694</v>
      </c>
      <c r="C260" s="2" t="s">
        <v>34</v>
      </c>
      <c r="D260" s="2" t="s">
        <v>90</v>
      </c>
      <c r="E260" s="2" t="s">
        <v>90</v>
      </c>
      <c r="F260" s="2" t="s">
        <v>90</v>
      </c>
      <c r="G260" s="6">
        <v>45442.0</v>
      </c>
      <c r="H260" s="2" t="s">
        <v>87</v>
      </c>
      <c r="I260" s="2" t="s">
        <v>67</v>
      </c>
      <c r="J260" s="2">
        <v>15446.25</v>
      </c>
    </row>
    <row r="261">
      <c r="A261" s="2" t="s">
        <v>695</v>
      </c>
      <c r="B261" s="2" t="s">
        <v>696</v>
      </c>
      <c r="C261" s="2" t="s">
        <v>34</v>
      </c>
      <c r="D261" s="2" t="s">
        <v>54</v>
      </c>
      <c r="E261" s="2" t="s">
        <v>130</v>
      </c>
      <c r="F261" s="2" t="s">
        <v>54</v>
      </c>
      <c r="G261" s="6">
        <v>45521.0</v>
      </c>
      <c r="H261" s="2" t="s">
        <v>108</v>
      </c>
      <c r="I261" s="2" t="s">
        <v>59</v>
      </c>
      <c r="J261" s="2">
        <v>35946.41</v>
      </c>
    </row>
    <row r="262">
      <c r="A262" s="2" t="s">
        <v>698</v>
      </c>
      <c r="B262" s="2" t="s">
        <v>699</v>
      </c>
      <c r="C262" s="2" t="s">
        <v>22</v>
      </c>
      <c r="D262" s="2" t="s">
        <v>85</v>
      </c>
      <c r="E262" s="2" t="s">
        <v>97</v>
      </c>
      <c r="F262" s="2" t="s">
        <v>111</v>
      </c>
      <c r="G262" s="6">
        <v>45546.0</v>
      </c>
      <c r="H262" s="2" t="s">
        <v>73</v>
      </c>
      <c r="I262" s="2" t="s">
        <v>59</v>
      </c>
      <c r="J262" s="2">
        <v>21243.98</v>
      </c>
    </row>
    <row r="263">
      <c r="A263" s="2" t="s">
        <v>700</v>
      </c>
      <c r="B263" s="2" t="s">
        <v>311</v>
      </c>
      <c r="C263" s="2" t="s">
        <v>34</v>
      </c>
      <c r="D263" s="2" t="s">
        <v>111</v>
      </c>
      <c r="E263" s="2" t="s">
        <v>111</v>
      </c>
      <c r="F263" s="2" t="s">
        <v>111</v>
      </c>
      <c r="G263" s="6">
        <v>45580.0</v>
      </c>
      <c r="H263" s="2" t="s">
        <v>49</v>
      </c>
      <c r="I263" s="2" t="s">
        <v>39</v>
      </c>
      <c r="J263" s="2">
        <v>13865.56</v>
      </c>
    </row>
    <row r="264">
      <c r="A264" s="2" t="s">
        <v>701</v>
      </c>
      <c r="B264" s="2" t="s">
        <v>247</v>
      </c>
      <c r="C264" s="2" t="s">
        <v>34</v>
      </c>
      <c r="D264" s="2" t="s">
        <v>51</v>
      </c>
      <c r="E264" s="2" t="s">
        <v>50</v>
      </c>
      <c r="F264" s="2" t="s">
        <v>51</v>
      </c>
      <c r="G264" s="6">
        <v>45397.0</v>
      </c>
      <c r="H264" s="2" t="s">
        <v>66</v>
      </c>
      <c r="I264" s="2" t="s">
        <v>67</v>
      </c>
      <c r="J264" s="2">
        <v>20665.01</v>
      </c>
    </row>
    <row r="265">
      <c r="A265" s="2" t="s">
        <v>702</v>
      </c>
      <c r="B265" s="2" t="s">
        <v>337</v>
      </c>
      <c r="C265" s="2" t="s">
        <v>34</v>
      </c>
      <c r="D265" s="2" t="s">
        <v>31</v>
      </c>
      <c r="E265" s="2" t="s">
        <v>77</v>
      </c>
      <c r="F265" s="2" t="s">
        <v>31</v>
      </c>
      <c r="G265" s="6">
        <v>45611.0</v>
      </c>
      <c r="H265" s="2" t="s">
        <v>142</v>
      </c>
      <c r="I265" s="2" t="s">
        <v>39</v>
      </c>
      <c r="J265" s="2">
        <v>17075.57</v>
      </c>
    </row>
    <row r="266">
      <c r="A266" s="2" t="s">
        <v>703</v>
      </c>
      <c r="B266" s="2" t="s">
        <v>704</v>
      </c>
      <c r="C266" s="2" t="s">
        <v>34</v>
      </c>
      <c r="D266" s="2" t="s">
        <v>51</v>
      </c>
      <c r="E266" s="2" t="s">
        <v>50</v>
      </c>
      <c r="F266" s="2" t="s">
        <v>51</v>
      </c>
      <c r="G266" s="6">
        <v>45417.0</v>
      </c>
      <c r="H266" s="2" t="s">
        <v>87</v>
      </c>
      <c r="I266" s="2" t="s">
        <v>67</v>
      </c>
      <c r="J266" s="2">
        <v>18924.37</v>
      </c>
    </row>
    <row r="267">
      <c r="A267" s="2" t="s">
        <v>705</v>
      </c>
      <c r="B267" s="2" t="s">
        <v>706</v>
      </c>
      <c r="C267" s="2" t="s">
        <v>22</v>
      </c>
      <c r="D267" s="2" t="s">
        <v>62</v>
      </c>
      <c r="E267" s="2" t="s">
        <v>24</v>
      </c>
      <c r="F267" s="2" t="s">
        <v>111</v>
      </c>
      <c r="G267" s="6">
        <v>45475.0</v>
      </c>
      <c r="H267" s="2" t="s">
        <v>58</v>
      </c>
      <c r="I267" s="2" t="s">
        <v>59</v>
      </c>
      <c r="J267" s="2">
        <v>19203.51</v>
      </c>
    </row>
    <row r="268">
      <c r="A268" s="2" t="s">
        <v>707</v>
      </c>
      <c r="B268" s="2" t="s">
        <v>708</v>
      </c>
      <c r="C268" s="2" t="s">
        <v>34</v>
      </c>
      <c r="D268" s="2" t="s">
        <v>31</v>
      </c>
      <c r="E268" s="2" t="s">
        <v>77</v>
      </c>
      <c r="F268" s="2" t="s">
        <v>31</v>
      </c>
      <c r="G268" s="6">
        <v>45360.0</v>
      </c>
      <c r="H268" s="2" t="s">
        <v>44</v>
      </c>
      <c r="I268" s="2" t="s">
        <v>29</v>
      </c>
      <c r="J268" s="2">
        <v>19848.67</v>
      </c>
    </row>
    <row r="269">
      <c r="A269" s="2" t="s">
        <v>709</v>
      </c>
      <c r="B269" s="2" t="s">
        <v>710</v>
      </c>
      <c r="C269" s="2" t="s">
        <v>22</v>
      </c>
      <c r="D269" s="2" t="s">
        <v>62</v>
      </c>
      <c r="E269" s="2" t="s">
        <v>111</v>
      </c>
      <c r="F269" s="2" t="s">
        <v>111</v>
      </c>
      <c r="G269" s="6">
        <v>45619.0</v>
      </c>
      <c r="H269" s="2" t="s">
        <v>142</v>
      </c>
      <c r="I269" s="2" t="s">
        <v>39</v>
      </c>
      <c r="J269" s="2">
        <v>29364.92</v>
      </c>
    </row>
    <row r="270">
      <c r="A270" s="2" t="s">
        <v>711</v>
      </c>
      <c r="B270" s="2" t="s">
        <v>106</v>
      </c>
      <c r="C270" s="2" t="s">
        <v>22</v>
      </c>
      <c r="D270" s="2" t="s">
        <v>85</v>
      </c>
      <c r="E270" s="2" t="s">
        <v>63</v>
      </c>
      <c r="F270" s="2" t="s">
        <v>111</v>
      </c>
      <c r="G270" s="6">
        <v>45519.0</v>
      </c>
      <c r="H270" s="2" t="s">
        <v>108</v>
      </c>
      <c r="I270" s="2" t="s">
        <v>59</v>
      </c>
      <c r="J270" s="2">
        <v>69233.06</v>
      </c>
    </row>
    <row r="271">
      <c r="A271" s="2" t="s">
        <v>712</v>
      </c>
      <c r="B271" s="2" t="s">
        <v>713</v>
      </c>
      <c r="C271" s="2" t="s">
        <v>34</v>
      </c>
      <c r="D271" s="2" t="s">
        <v>90</v>
      </c>
      <c r="E271" s="2" t="s">
        <v>104</v>
      </c>
      <c r="F271" s="2" t="s">
        <v>90</v>
      </c>
      <c r="G271" s="6">
        <v>45545.0</v>
      </c>
      <c r="H271" s="2" t="s">
        <v>73</v>
      </c>
      <c r="I271" s="2" t="s">
        <v>59</v>
      </c>
      <c r="J271" s="2">
        <v>11262.41</v>
      </c>
    </row>
    <row r="272">
      <c r="A272" s="2" t="s">
        <v>714</v>
      </c>
      <c r="B272" s="2" t="s">
        <v>715</v>
      </c>
      <c r="C272" s="2" t="s">
        <v>34</v>
      </c>
      <c r="D272" s="2" t="s">
        <v>31</v>
      </c>
      <c r="E272" s="2" t="s">
        <v>77</v>
      </c>
      <c r="F272" s="2" t="s">
        <v>31</v>
      </c>
      <c r="G272" s="6">
        <v>45464.0</v>
      </c>
      <c r="H272" s="2" t="s">
        <v>113</v>
      </c>
      <c r="I272" s="2" t="s">
        <v>67</v>
      </c>
      <c r="J272" s="2">
        <v>13608.24</v>
      </c>
    </row>
    <row r="273">
      <c r="A273" s="2" t="s">
        <v>717</v>
      </c>
      <c r="B273" s="2" t="s">
        <v>332</v>
      </c>
      <c r="C273" s="2" t="s">
        <v>34</v>
      </c>
      <c r="D273" s="2" t="s">
        <v>111</v>
      </c>
      <c r="E273" s="2" t="s">
        <v>63</v>
      </c>
      <c r="F273" s="2" t="s">
        <v>111</v>
      </c>
      <c r="G273" s="6">
        <v>45458.0</v>
      </c>
      <c r="H273" s="2" t="s">
        <v>113</v>
      </c>
      <c r="I273" s="2" t="s">
        <v>67</v>
      </c>
      <c r="J273" s="2">
        <v>24877.93</v>
      </c>
    </row>
    <row r="274">
      <c r="A274" s="2" t="s">
        <v>718</v>
      </c>
      <c r="B274" s="2" t="s">
        <v>719</v>
      </c>
      <c r="C274" s="2" t="s">
        <v>34</v>
      </c>
      <c r="D274" s="2" t="s">
        <v>90</v>
      </c>
      <c r="E274" s="2" t="s">
        <v>91</v>
      </c>
      <c r="F274" s="2" t="s">
        <v>90</v>
      </c>
      <c r="G274" s="6">
        <v>45601.0</v>
      </c>
      <c r="H274" s="2" t="s">
        <v>142</v>
      </c>
      <c r="I274" s="2" t="s">
        <v>39</v>
      </c>
      <c r="J274" s="2">
        <v>15079.57</v>
      </c>
    </row>
    <row r="275">
      <c r="A275" s="2" t="s">
        <v>720</v>
      </c>
      <c r="B275" s="2" t="s">
        <v>721</v>
      </c>
      <c r="C275" s="2" t="s">
        <v>22</v>
      </c>
      <c r="D275" s="2" t="s">
        <v>62</v>
      </c>
      <c r="E275" s="2" t="s">
        <v>63</v>
      </c>
      <c r="F275" s="2" t="s">
        <v>111</v>
      </c>
      <c r="G275" s="6">
        <v>45627.0</v>
      </c>
      <c r="H275" s="2" t="s">
        <v>38</v>
      </c>
      <c r="I275" s="2" t="s">
        <v>39</v>
      </c>
      <c r="J275" s="2">
        <v>5788.2</v>
      </c>
    </row>
    <row r="276">
      <c r="A276" s="2" t="s">
        <v>722</v>
      </c>
      <c r="B276" s="2" t="s">
        <v>723</v>
      </c>
      <c r="C276" s="2" t="s">
        <v>22</v>
      </c>
      <c r="D276" s="2" t="s">
        <v>62</v>
      </c>
      <c r="E276" s="2" t="s">
        <v>111</v>
      </c>
      <c r="F276" s="2" t="s">
        <v>111</v>
      </c>
      <c r="G276" s="6">
        <v>45512.0</v>
      </c>
      <c r="H276" s="2" t="s">
        <v>108</v>
      </c>
      <c r="I276" s="2" t="s">
        <v>59</v>
      </c>
      <c r="J276" s="2">
        <v>7862.81</v>
      </c>
    </row>
    <row r="277">
      <c r="A277" s="2" t="s">
        <v>724</v>
      </c>
      <c r="B277" s="2" t="s">
        <v>725</v>
      </c>
      <c r="C277" s="2" t="s">
        <v>34</v>
      </c>
      <c r="D277" s="2" t="s">
        <v>90</v>
      </c>
      <c r="E277" s="2" t="s">
        <v>91</v>
      </c>
      <c r="F277" s="2" t="s">
        <v>90</v>
      </c>
      <c r="G277" s="6">
        <v>45406.0</v>
      </c>
      <c r="H277" s="2" t="s">
        <v>66</v>
      </c>
      <c r="I277" s="2" t="s">
        <v>67</v>
      </c>
      <c r="J277" s="2">
        <v>11058.33</v>
      </c>
    </row>
    <row r="278">
      <c r="A278" s="2" t="s">
        <v>726</v>
      </c>
      <c r="B278" s="2" t="s">
        <v>727</v>
      </c>
      <c r="C278" s="2" t="s">
        <v>22</v>
      </c>
      <c r="D278" s="2" t="s">
        <v>85</v>
      </c>
      <c r="E278" s="2" t="s">
        <v>97</v>
      </c>
      <c r="F278" s="2" t="s">
        <v>111</v>
      </c>
      <c r="G278" s="6">
        <v>46027.0</v>
      </c>
      <c r="H278" s="2" t="s">
        <v>28</v>
      </c>
      <c r="I278" s="2" t="s">
        <v>29</v>
      </c>
      <c r="J278" s="2">
        <v>26681.01</v>
      </c>
    </row>
    <row r="279">
      <c r="A279" s="2" t="s">
        <v>728</v>
      </c>
      <c r="B279" s="2" t="s">
        <v>729</v>
      </c>
      <c r="C279" s="2" t="s">
        <v>34</v>
      </c>
      <c r="D279" s="2" t="s">
        <v>51</v>
      </c>
      <c r="E279" s="2" t="s">
        <v>74</v>
      </c>
      <c r="F279" s="2" t="s">
        <v>51</v>
      </c>
      <c r="G279" s="6">
        <v>45564.0</v>
      </c>
      <c r="H279" s="2" t="s">
        <v>73</v>
      </c>
      <c r="I279" s="2" t="s">
        <v>59</v>
      </c>
      <c r="J279" s="2">
        <v>19523.77</v>
      </c>
    </row>
    <row r="280">
      <c r="A280" s="2" t="s">
        <v>731</v>
      </c>
      <c r="B280" s="2" t="s">
        <v>732</v>
      </c>
      <c r="C280" s="2" t="s">
        <v>22</v>
      </c>
      <c r="D280" s="2" t="s">
        <v>23</v>
      </c>
      <c r="E280" s="2" t="s">
        <v>24</v>
      </c>
      <c r="F280" s="2" t="s">
        <v>111</v>
      </c>
      <c r="G280" s="6">
        <v>45627.0</v>
      </c>
      <c r="H280" s="2" t="s">
        <v>38</v>
      </c>
      <c r="I280" s="2" t="s">
        <v>39</v>
      </c>
      <c r="J280" s="2">
        <v>140449.03</v>
      </c>
    </row>
    <row r="281">
      <c r="A281" s="2" t="s">
        <v>733</v>
      </c>
      <c r="B281" s="2" t="s">
        <v>295</v>
      </c>
      <c r="C281" s="2" t="s">
        <v>34</v>
      </c>
      <c r="D281" s="2" t="s">
        <v>82</v>
      </c>
      <c r="E281" s="2" t="s">
        <v>81</v>
      </c>
      <c r="F281" s="2" t="s">
        <v>82</v>
      </c>
      <c r="G281" s="6">
        <v>45427.0</v>
      </c>
      <c r="H281" s="2" t="s">
        <v>87</v>
      </c>
      <c r="I281" s="2" t="s">
        <v>67</v>
      </c>
      <c r="J281" s="2">
        <v>14127.64</v>
      </c>
    </row>
    <row r="282">
      <c r="A282" s="2" t="s">
        <v>734</v>
      </c>
      <c r="B282" s="2" t="s">
        <v>646</v>
      </c>
      <c r="C282" s="2" t="s">
        <v>34</v>
      </c>
      <c r="D282" s="2" t="s">
        <v>31</v>
      </c>
      <c r="E282" s="2" t="s">
        <v>145</v>
      </c>
      <c r="F282" s="2" t="s">
        <v>31</v>
      </c>
      <c r="G282" s="6">
        <v>45321.0</v>
      </c>
      <c r="H282" s="2" t="s">
        <v>28</v>
      </c>
      <c r="I282" s="2" t="s">
        <v>29</v>
      </c>
      <c r="J282" s="2">
        <v>18203.89</v>
      </c>
    </row>
    <row r="283">
      <c r="A283" s="2" t="s">
        <v>735</v>
      </c>
      <c r="B283" s="2" t="s">
        <v>544</v>
      </c>
      <c r="C283" s="2" t="s">
        <v>34</v>
      </c>
      <c r="D283" s="2" t="s">
        <v>54</v>
      </c>
      <c r="E283" s="2" t="s">
        <v>124</v>
      </c>
      <c r="F283" s="2" t="s">
        <v>54</v>
      </c>
      <c r="G283" s="6">
        <v>45436.0</v>
      </c>
      <c r="H283" s="2" t="s">
        <v>87</v>
      </c>
      <c r="I283" s="2" t="s">
        <v>67</v>
      </c>
      <c r="J283" s="2">
        <v>91533.22</v>
      </c>
    </row>
    <row r="284">
      <c r="A284" s="2" t="s">
        <v>736</v>
      </c>
      <c r="B284" s="2" t="s">
        <v>737</v>
      </c>
      <c r="C284" s="2" t="s">
        <v>34</v>
      </c>
      <c r="D284" s="2" t="s">
        <v>31</v>
      </c>
      <c r="E284" s="2" t="s">
        <v>145</v>
      </c>
      <c r="F284" s="2" t="s">
        <v>31</v>
      </c>
      <c r="G284" s="6">
        <v>45488.0</v>
      </c>
      <c r="H284" s="2" t="s">
        <v>58</v>
      </c>
      <c r="I284" s="2" t="s">
        <v>59</v>
      </c>
      <c r="J284" s="2">
        <v>16590.010000000002</v>
      </c>
    </row>
    <row r="285">
      <c r="A285" s="2" t="s">
        <v>738</v>
      </c>
      <c r="B285" s="2" t="s">
        <v>739</v>
      </c>
      <c r="C285" s="2" t="s">
        <v>34</v>
      </c>
      <c r="D285" s="2" t="s">
        <v>111</v>
      </c>
      <c r="E285" s="2" t="s">
        <v>63</v>
      </c>
      <c r="F285" s="2" t="s">
        <v>111</v>
      </c>
      <c r="G285" s="6">
        <v>45351.0</v>
      </c>
      <c r="H285" s="2" t="s">
        <v>126</v>
      </c>
      <c r="I285" s="2" t="s">
        <v>29</v>
      </c>
      <c r="J285" s="2">
        <v>61281.36</v>
      </c>
    </row>
    <row r="286">
      <c r="A286" s="2" t="s">
        <v>740</v>
      </c>
      <c r="B286" s="2" t="s">
        <v>244</v>
      </c>
      <c r="C286" s="2" t="s">
        <v>22</v>
      </c>
      <c r="D286" s="2" t="s">
        <v>62</v>
      </c>
      <c r="E286" s="2" t="s">
        <v>24</v>
      </c>
      <c r="F286" s="2" t="s">
        <v>111</v>
      </c>
      <c r="G286" s="6">
        <v>46211.0</v>
      </c>
      <c r="H286" s="2" t="s">
        <v>58</v>
      </c>
      <c r="I286" s="2" t="s">
        <v>59</v>
      </c>
      <c r="J286" s="2">
        <v>16767.89</v>
      </c>
    </row>
    <row r="287">
      <c r="A287" s="2" t="s">
        <v>741</v>
      </c>
      <c r="B287" s="2" t="s">
        <v>742</v>
      </c>
      <c r="C287" s="2" t="s">
        <v>34</v>
      </c>
      <c r="D287" s="2" t="s">
        <v>111</v>
      </c>
      <c r="E287" s="2" t="s">
        <v>63</v>
      </c>
      <c r="F287" s="2" t="s">
        <v>111</v>
      </c>
      <c r="G287" s="6">
        <v>46184.0</v>
      </c>
      <c r="H287" s="2" t="s">
        <v>113</v>
      </c>
      <c r="I287" s="2" t="s">
        <v>67</v>
      </c>
      <c r="J287" s="2">
        <v>59940.33</v>
      </c>
    </row>
    <row r="288">
      <c r="A288" s="2" t="s">
        <v>743</v>
      </c>
      <c r="B288" s="2" t="s">
        <v>744</v>
      </c>
      <c r="C288" s="2" t="s">
        <v>34</v>
      </c>
      <c r="D288" s="2" t="s">
        <v>82</v>
      </c>
      <c r="E288" s="2" t="s">
        <v>82</v>
      </c>
      <c r="F288" s="2" t="s">
        <v>82</v>
      </c>
      <c r="G288" s="6">
        <v>45635.0</v>
      </c>
      <c r="H288" s="2" t="s">
        <v>38</v>
      </c>
      <c r="I288" s="2" t="s">
        <v>39</v>
      </c>
      <c r="J288" s="2">
        <v>19788.0</v>
      </c>
    </row>
    <row r="289">
      <c r="A289" s="2" t="s">
        <v>746</v>
      </c>
      <c r="B289" s="2" t="s">
        <v>128</v>
      </c>
      <c r="C289" s="2" t="s">
        <v>34</v>
      </c>
      <c r="D289" s="2" t="s">
        <v>51</v>
      </c>
      <c r="E289" s="2" t="s">
        <v>50</v>
      </c>
      <c r="F289" s="2" t="s">
        <v>51</v>
      </c>
      <c r="G289" s="6">
        <v>45306.0</v>
      </c>
      <c r="H289" s="2" t="s">
        <v>28</v>
      </c>
      <c r="I289" s="2" t="s">
        <v>29</v>
      </c>
      <c r="J289" s="2">
        <v>17575.3</v>
      </c>
    </row>
    <row r="290">
      <c r="A290" s="2" t="s">
        <v>748</v>
      </c>
      <c r="B290" s="2" t="s">
        <v>160</v>
      </c>
      <c r="C290" s="2" t="s">
        <v>22</v>
      </c>
      <c r="D290" s="2" t="s">
        <v>23</v>
      </c>
      <c r="E290" s="2" t="s">
        <v>63</v>
      </c>
      <c r="F290" s="2" t="s">
        <v>111</v>
      </c>
      <c r="G290" s="6">
        <v>45434.0</v>
      </c>
      <c r="H290" s="2" t="s">
        <v>87</v>
      </c>
      <c r="I290" s="2" t="s">
        <v>67</v>
      </c>
      <c r="J290" s="2">
        <v>125388.27</v>
      </c>
    </row>
    <row r="291">
      <c r="A291" s="2" t="s">
        <v>749</v>
      </c>
      <c r="B291" s="2" t="s">
        <v>329</v>
      </c>
      <c r="C291" s="2" t="s">
        <v>34</v>
      </c>
      <c r="D291" s="2" t="s">
        <v>54</v>
      </c>
      <c r="E291" s="2" t="s">
        <v>124</v>
      </c>
      <c r="F291" s="2" t="s">
        <v>54</v>
      </c>
      <c r="G291" s="6">
        <v>45506.0</v>
      </c>
      <c r="H291" s="2" t="s">
        <v>108</v>
      </c>
      <c r="I291" s="2" t="s">
        <v>59</v>
      </c>
      <c r="J291" s="2">
        <v>7372.92</v>
      </c>
    </row>
    <row r="292">
      <c r="A292" s="2" t="s">
        <v>750</v>
      </c>
      <c r="B292" s="2" t="s">
        <v>751</v>
      </c>
      <c r="C292" s="2" t="s">
        <v>22</v>
      </c>
      <c r="D292" s="2" t="s">
        <v>62</v>
      </c>
      <c r="E292" s="2" t="s">
        <v>97</v>
      </c>
      <c r="F292" s="2" t="s">
        <v>111</v>
      </c>
      <c r="G292" s="6">
        <v>45417.0</v>
      </c>
      <c r="H292" s="2" t="s">
        <v>87</v>
      </c>
      <c r="I292" s="2" t="s">
        <v>67</v>
      </c>
      <c r="J292" s="2">
        <v>9191.43</v>
      </c>
    </row>
    <row r="293">
      <c r="A293" s="2" t="s">
        <v>752</v>
      </c>
      <c r="B293" s="2" t="s">
        <v>692</v>
      </c>
      <c r="C293" s="2" t="s">
        <v>34</v>
      </c>
      <c r="D293" s="2" t="s">
        <v>111</v>
      </c>
      <c r="E293" s="2" t="s">
        <v>97</v>
      </c>
      <c r="F293" s="2" t="s">
        <v>111</v>
      </c>
      <c r="G293" s="6">
        <v>45306.0</v>
      </c>
      <c r="H293" s="2" t="s">
        <v>28</v>
      </c>
      <c r="I293" s="2" t="s">
        <v>29</v>
      </c>
      <c r="J293" s="2">
        <v>19254.34</v>
      </c>
    </row>
    <row r="294">
      <c r="A294" s="2" t="s">
        <v>753</v>
      </c>
      <c r="B294" s="2" t="s">
        <v>754</v>
      </c>
      <c r="C294" s="2" t="s">
        <v>34</v>
      </c>
      <c r="D294" s="2" t="s">
        <v>111</v>
      </c>
      <c r="E294" s="2" t="s">
        <v>97</v>
      </c>
      <c r="F294" s="2" t="s">
        <v>111</v>
      </c>
      <c r="G294" s="6">
        <v>45789.0</v>
      </c>
      <c r="H294" s="2" t="s">
        <v>87</v>
      </c>
      <c r="I294" s="2" t="s">
        <v>67</v>
      </c>
      <c r="J294" s="2">
        <v>18902.87</v>
      </c>
    </row>
    <row r="295">
      <c r="A295" s="2" t="s">
        <v>755</v>
      </c>
      <c r="B295" s="2" t="s">
        <v>756</v>
      </c>
      <c r="C295" s="2" t="s">
        <v>34</v>
      </c>
      <c r="D295" s="2" t="s">
        <v>90</v>
      </c>
      <c r="E295" s="2" t="s">
        <v>91</v>
      </c>
      <c r="F295" s="2" t="s">
        <v>90</v>
      </c>
      <c r="G295" s="6">
        <v>45629.0</v>
      </c>
      <c r="H295" s="2" t="s">
        <v>38</v>
      </c>
      <c r="I295" s="2" t="s">
        <v>39</v>
      </c>
      <c r="J295" s="2">
        <v>11361.58</v>
      </c>
    </row>
    <row r="296">
      <c r="A296" s="2" t="s">
        <v>757</v>
      </c>
      <c r="B296" s="2" t="s">
        <v>758</v>
      </c>
      <c r="C296" s="2" t="s">
        <v>22</v>
      </c>
      <c r="D296" s="2" t="s">
        <v>23</v>
      </c>
      <c r="E296" s="2" t="s">
        <v>111</v>
      </c>
      <c r="F296" s="2" t="s">
        <v>111</v>
      </c>
      <c r="G296" s="6">
        <v>45310.0</v>
      </c>
      <c r="H296" s="2" t="s">
        <v>28</v>
      </c>
      <c r="I296" s="2" t="s">
        <v>29</v>
      </c>
      <c r="J296" s="2">
        <v>96557.14</v>
      </c>
    </row>
    <row r="297">
      <c r="A297" s="2" t="s">
        <v>759</v>
      </c>
      <c r="B297" s="2" t="s">
        <v>760</v>
      </c>
      <c r="C297" s="2" t="s">
        <v>34</v>
      </c>
      <c r="D297" s="2" t="s">
        <v>90</v>
      </c>
      <c r="E297" s="2" t="s">
        <v>114</v>
      </c>
      <c r="F297" s="2" t="s">
        <v>90</v>
      </c>
      <c r="G297" s="6">
        <v>45463.0</v>
      </c>
      <c r="H297" s="2" t="s">
        <v>113</v>
      </c>
      <c r="I297" s="2" t="s">
        <v>67</v>
      </c>
      <c r="J297" s="2">
        <v>16358.22</v>
      </c>
    </row>
    <row r="298">
      <c r="A298" s="2" t="s">
        <v>762</v>
      </c>
      <c r="B298" s="2" t="s">
        <v>763</v>
      </c>
      <c r="C298" s="2" t="s">
        <v>34</v>
      </c>
      <c r="D298" s="2" t="s">
        <v>111</v>
      </c>
      <c r="E298" s="2" t="s">
        <v>24</v>
      </c>
      <c r="F298" s="2" t="s">
        <v>111</v>
      </c>
      <c r="G298" s="6">
        <v>45552.0</v>
      </c>
      <c r="H298" s="2" t="s">
        <v>73</v>
      </c>
      <c r="I298" s="2" t="s">
        <v>59</v>
      </c>
      <c r="J298" s="2">
        <v>20177.52</v>
      </c>
    </row>
    <row r="299">
      <c r="A299" s="2" t="s">
        <v>764</v>
      </c>
      <c r="B299" s="2" t="s">
        <v>765</v>
      </c>
      <c r="C299" s="2" t="s">
        <v>22</v>
      </c>
      <c r="D299" s="2" t="s">
        <v>62</v>
      </c>
      <c r="E299" s="2" t="s">
        <v>111</v>
      </c>
      <c r="F299" s="2" t="s">
        <v>111</v>
      </c>
      <c r="G299" s="6">
        <v>45318.0</v>
      </c>
      <c r="H299" s="2" t="s">
        <v>28</v>
      </c>
      <c r="I299" s="2" t="s">
        <v>29</v>
      </c>
      <c r="J299" s="2">
        <v>8087.23</v>
      </c>
    </row>
    <row r="300">
      <c r="A300" s="2" t="s">
        <v>766</v>
      </c>
      <c r="B300" s="2" t="s">
        <v>106</v>
      </c>
      <c r="C300" s="2" t="s">
        <v>34</v>
      </c>
      <c r="D300" s="2" t="s">
        <v>82</v>
      </c>
      <c r="E300" s="2" t="s">
        <v>99</v>
      </c>
      <c r="F300" s="2" t="s">
        <v>82</v>
      </c>
      <c r="G300" s="6">
        <v>45519.0</v>
      </c>
      <c r="H300" s="2" t="s">
        <v>108</v>
      </c>
      <c r="I300" s="2" t="s">
        <v>59</v>
      </c>
      <c r="J300" s="2">
        <v>13432.56</v>
      </c>
    </row>
    <row r="301">
      <c r="A301" s="2" t="s">
        <v>767</v>
      </c>
      <c r="B301" s="2" t="s">
        <v>768</v>
      </c>
      <c r="C301" s="2" t="s">
        <v>34</v>
      </c>
      <c r="D301" s="2" t="s">
        <v>51</v>
      </c>
      <c r="E301" s="2" t="s">
        <v>50</v>
      </c>
      <c r="F301" s="2" t="s">
        <v>51</v>
      </c>
      <c r="G301" s="6">
        <v>45511.0</v>
      </c>
      <c r="H301" s="2" t="s">
        <v>108</v>
      </c>
      <c r="I301" s="2" t="s">
        <v>59</v>
      </c>
      <c r="J301" s="2">
        <v>10064.61</v>
      </c>
    </row>
    <row r="302">
      <c r="A302" s="2" t="s">
        <v>769</v>
      </c>
      <c r="B302" s="2" t="s">
        <v>770</v>
      </c>
      <c r="C302" s="2" t="s">
        <v>34</v>
      </c>
      <c r="D302" s="2" t="s">
        <v>82</v>
      </c>
      <c r="E302" s="2" t="s">
        <v>82</v>
      </c>
      <c r="F302" s="2" t="s">
        <v>82</v>
      </c>
      <c r="G302" s="6">
        <v>45512.0</v>
      </c>
      <c r="H302" s="2" t="s">
        <v>108</v>
      </c>
      <c r="I302" s="2" t="s">
        <v>59</v>
      </c>
      <c r="J302" s="2">
        <v>25347.21</v>
      </c>
    </row>
    <row r="303">
      <c r="A303" s="2" t="s">
        <v>771</v>
      </c>
      <c r="B303" s="2" t="s">
        <v>772</v>
      </c>
      <c r="C303" s="2" t="s">
        <v>34</v>
      </c>
      <c r="D303" s="2" t="s">
        <v>111</v>
      </c>
      <c r="E303" s="2" t="s">
        <v>24</v>
      </c>
      <c r="F303" s="2" t="s">
        <v>111</v>
      </c>
      <c r="G303" s="6">
        <v>45610.0</v>
      </c>
      <c r="H303" s="2" t="s">
        <v>142</v>
      </c>
      <c r="I303" s="2" t="s">
        <v>39</v>
      </c>
      <c r="J303" s="2">
        <v>22902.05</v>
      </c>
    </row>
    <row r="304">
      <c r="A304" s="2" t="s">
        <v>773</v>
      </c>
      <c r="B304" s="2" t="s">
        <v>774</v>
      </c>
      <c r="C304" s="2" t="s">
        <v>34</v>
      </c>
      <c r="D304" s="2" t="s">
        <v>111</v>
      </c>
      <c r="E304" s="2" t="s">
        <v>24</v>
      </c>
      <c r="F304" s="2" t="s">
        <v>111</v>
      </c>
      <c r="G304" s="6">
        <v>45305.0</v>
      </c>
      <c r="H304" s="2" t="s">
        <v>28</v>
      </c>
      <c r="I304" s="2" t="s">
        <v>29</v>
      </c>
      <c r="J304" s="2">
        <v>29018.17</v>
      </c>
    </row>
    <row r="305">
      <c r="A305" s="2" t="s">
        <v>776</v>
      </c>
      <c r="B305" s="2" t="s">
        <v>457</v>
      </c>
      <c r="C305" s="2" t="s">
        <v>22</v>
      </c>
      <c r="D305" s="2" t="s">
        <v>23</v>
      </c>
      <c r="E305" s="2" t="s">
        <v>111</v>
      </c>
      <c r="F305" s="2" t="s">
        <v>111</v>
      </c>
      <c r="G305" s="6">
        <v>45501.0</v>
      </c>
      <c r="H305" s="2" t="s">
        <v>58</v>
      </c>
      <c r="I305" s="2" t="s">
        <v>59</v>
      </c>
      <c r="J305" s="2">
        <v>113088.64</v>
      </c>
    </row>
    <row r="306">
      <c r="A306" s="2" t="s">
        <v>777</v>
      </c>
      <c r="B306" s="2" t="s">
        <v>778</v>
      </c>
      <c r="C306" s="2" t="s">
        <v>22</v>
      </c>
      <c r="D306" s="2" t="s">
        <v>85</v>
      </c>
      <c r="E306" s="2" t="s">
        <v>63</v>
      </c>
      <c r="F306" s="2" t="s">
        <v>111</v>
      </c>
      <c r="G306" s="6">
        <v>45614.0</v>
      </c>
      <c r="H306" s="2" t="s">
        <v>142</v>
      </c>
      <c r="I306" s="2" t="s">
        <v>39</v>
      </c>
      <c r="J306" s="2">
        <v>11696.26</v>
      </c>
    </row>
    <row r="307">
      <c r="A307" s="2" t="s">
        <v>779</v>
      </c>
      <c r="B307" s="2" t="s">
        <v>780</v>
      </c>
      <c r="C307" s="2" t="s">
        <v>34</v>
      </c>
      <c r="D307" s="2" t="s">
        <v>31</v>
      </c>
      <c r="E307" s="2" t="s">
        <v>35</v>
      </c>
      <c r="F307" s="2" t="s">
        <v>31</v>
      </c>
      <c r="G307" s="6">
        <v>45402.0</v>
      </c>
      <c r="H307" s="2" t="s">
        <v>66</v>
      </c>
      <c r="I307" s="2" t="s">
        <v>67</v>
      </c>
      <c r="J307" s="2">
        <v>19116.83</v>
      </c>
    </row>
    <row r="308">
      <c r="A308" s="2" t="s">
        <v>781</v>
      </c>
      <c r="B308" s="2" t="s">
        <v>782</v>
      </c>
      <c r="C308" s="2" t="s">
        <v>34</v>
      </c>
      <c r="D308" s="2" t="s">
        <v>54</v>
      </c>
      <c r="E308" s="2" t="s">
        <v>124</v>
      </c>
      <c r="F308" s="2" t="s">
        <v>54</v>
      </c>
      <c r="G308" s="6">
        <v>45480.0</v>
      </c>
      <c r="H308" s="2" t="s">
        <v>58</v>
      </c>
      <c r="I308" s="2" t="s">
        <v>59</v>
      </c>
      <c r="J308" s="2">
        <v>55844.34</v>
      </c>
    </row>
    <row r="309">
      <c r="A309" s="2" t="s">
        <v>783</v>
      </c>
      <c r="B309" s="2" t="s">
        <v>271</v>
      </c>
      <c r="C309" s="2" t="s">
        <v>22</v>
      </c>
      <c r="D309" s="2" t="s">
        <v>23</v>
      </c>
      <c r="E309" s="2" t="s">
        <v>24</v>
      </c>
      <c r="F309" s="2" t="s">
        <v>111</v>
      </c>
      <c r="G309" s="6">
        <v>45603.0</v>
      </c>
      <c r="H309" s="2" t="s">
        <v>142</v>
      </c>
      <c r="I309" s="2" t="s">
        <v>39</v>
      </c>
      <c r="J309" s="2">
        <v>195603.28</v>
      </c>
    </row>
    <row r="310">
      <c r="A310" s="2" t="s">
        <v>784</v>
      </c>
      <c r="B310" s="2" t="s">
        <v>785</v>
      </c>
      <c r="C310" s="2" t="s">
        <v>34</v>
      </c>
      <c r="D310" s="2" t="s">
        <v>111</v>
      </c>
      <c r="E310" s="2" t="s">
        <v>111</v>
      </c>
      <c r="F310" s="2" t="s">
        <v>111</v>
      </c>
      <c r="G310" s="6">
        <v>45903.0</v>
      </c>
      <c r="H310" s="2" t="s">
        <v>73</v>
      </c>
      <c r="I310" s="2" t="s">
        <v>59</v>
      </c>
      <c r="J310" s="2">
        <v>59563.34</v>
      </c>
    </row>
    <row r="311">
      <c r="A311" s="2" t="s">
        <v>786</v>
      </c>
      <c r="B311" s="2" t="s">
        <v>244</v>
      </c>
      <c r="C311" s="2" t="s">
        <v>22</v>
      </c>
      <c r="D311" s="2" t="s">
        <v>62</v>
      </c>
      <c r="E311" s="2" t="s">
        <v>97</v>
      </c>
      <c r="F311" s="2" t="s">
        <v>111</v>
      </c>
      <c r="G311" s="6">
        <v>46211.0</v>
      </c>
      <c r="H311" s="2" t="s">
        <v>58</v>
      </c>
      <c r="I311" s="2" t="s">
        <v>59</v>
      </c>
      <c r="J311" s="2">
        <v>4909.94</v>
      </c>
    </row>
    <row r="312">
      <c r="A312" s="2" t="s">
        <v>787</v>
      </c>
      <c r="B312" s="2" t="s">
        <v>788</v>
      </c>
      <c r="C312" s="2" t="s">
        <v>34</v>
      </c>
      <c r="D312" s="2" t="s">
        <v>90</v>
      </c>
      <c r="E312" s="2" t="s">
        <v>104</v>
      </c>
      <c r="F312" s="2" t="s">
        <v>90</v>
      </c>
      <c r="G312" s="6">
        <v>45345.0</v>
      </c>
      <c r="H312" s="2" t="s">
        <v>126</v>
      </c>
      <c r="I312" s="2" t="s">
        <v>29</v>
      </c>
      <c r="J312" s="2">
        <v>18772.62</v>
      </c>
    </row>
    <row r="313">
      <c r="A313" s="2" t="s">
        <v>789</v>
      </c>
      <c r="B313" s="2" t="s">
        <v>790</v>
      </c>
      <c r="C313" s="2" t="s">
        <v>34</v>
      </c>
      <c r="D313" s="2" t="s">
        <v>90</v>
      </c>
      <c r="E313" s="2" t="s">
        <v>90</v>
      </c>
      <c r="F313" s="2" t="s">
        <v>90</v>
      </c>
      <c r="G313" s="6">
        <v>46210.0</v>
      </c>
      <c r="H313" s="2" t="s">
        <v>58</v>
      </c>
      <c r="I313" s="2" t="s">
        <v>59</v>
      </c>
      <c r="J313" s="2">
        <v>13871.24</v>
      </c>
    </row>
    <row r="314">
      <c r="A314" s="2" t="s">
        <v>791</v>
      </c>
      <c r="B314" s="2" t="s">
        <v>792</v>
      </c>
      <c r="C314" s="2" t="s">
        <v>34</v>
      </c>
      <c r="D314" s="2" t="s">
        <v>90</v>
      </c>
      <c r="E314" s="2" t="s">
        <v>104</v>
      </c>
      <c r="F314" s="2" t="s">
        <v>90</v>
      </c>
      <c r="G314" s="6">
        <v>45498.0</v>
      </c>
      <c r="H314" s="2" t="s">
        <v>58</v>
      </c>
      <c r="I314" s="2" t="s">
        <v>59</v>
      </c>
      <c r="J314" s="2">
        <v>22503.86</v>
      </c>
    </row>
    <row r="315">
      <c r="A315" s="2" t="s">
        <v>793</v>
      </c>
      <c r="B315" s="2" t="s">
        <v>794</v>
      </c>
      <c r="C315" s="2" t="s">
        <v>34</v>
      </c>
      <c r="D315" s="2" t="s">
        <v>111</v>
      </c>
      <c r="E315" s="2" t="s">
        <v>97</v>
      </c>
      <c r="F315" s="2" t="s">
        <v>111</v>
      </c>
      <c r="G315" s="6">
        <v>45439.0</v>
      </c>
      <c r="H315" s="2" t="s">
        <v>87</v>
      </c>
      <c r="I315" s="2" t="s">
        <v>67</v>
      </c>
      <c r="J315" s="2">
        <v>28628.82</v>
      </c>
    </row>
    <row r="316">
      <c r="A316" s="2" t="s">
        <v>795</v>
      </c>
      <c r="B316" s="2" t="s">
        <v>128</v>
      </c>
      <c r="C316" s="2" t="s">
        <v>22</v>
      </c>
      <c r="D316" s="2" t="s">
        <v>62</v>
      </c>
      <c r="E316" s="2" t="s">
        <v>24</v>
      </c>
      <c r="F316" s="2" t="s">
        <v>111</v>
      </c>
      <c r="G316" s="6">
        <v>45306.0</v>
      </c>
      <c r="H316" s="2" t="s">
        <v>28</v>
      </c>
      <c r="I316" s="2" t="s">
        <v>29</v>
      </c>
      <c r="J316" s="2">
        <v>24475.88</v>
      </c>
    </row>
    <row r="317">
      <c r="A317" s="2" t="s">
        <v>796</v>
      </c>
      <c r="B317" s="2" t="s">
        <v>106</v>
      </c>
      <c r="C317" s="2" t="s">
        <v>22</v>
      </c>
      <c r="D317" s="2" t="s">
        <v>23</v>
      </c>
      <c r="E317" s="2" t="s">
        <v>97</v>
      </c>
      <c r="F317" s="2" t="s">
        <v>111</v>
      </c>
      <c r="G317" s="6">
        <v>45519.0</v>
      </c>
      <c r="H317" s="2" t="s">
        <v>108</v>
      </c>
      <c r="I317" s="2" t="s">
        <v>59</v>
      </c>
      <c r="J317" s="2">
        <v>194695.08</v>
      </c>
    </row>
    <row r="318">
      <c r="A318" s="2" t="s">
        <v>797</v>
      </c>
      <c r="B318" s="2" t="s">
        <v>798</v>
      </c>
      <c r="C318" s="2" t="s">
        <v>34</v>
      </c>
      <c r="D318" s="2" t="s">
        <v>51</v>
      </c>
      <c r="E318" s="2" t="s">
        <v>50</v>
      </c>
      <c r="F318" s="2" t="s">
        <v>51</v>
      </c>
      <c r="G318" s="6">
        <v>45527.0</v>
      </c>
      <c r="H318" s="2" t="s">
        <v>108</v>
      </c>
      <c r="I318" s="2" t="s">
        <v>59</v>
      </c>
      <c r="J318" s="2">
        <v>14065.33</v>
      </c>
    </row>
    <row r="319">
      <c r="A319" s="2" t="s">
        <v>799</v>
      </c>
      <c r="B319" s="2" t="s">
        <v>800</v>
      </c>
      <c r="C319" s="2" t="s">
        <v>34</v>
      </c>
      <c r="D319" s="2" t="s">
        <v>54</v>
      </c>
      <c r="E319" s="2" t="s">
        <v>54</v>
      </c>
      <c r="F319" s="2" t="s">
        <v>54</v>
      </c>
      <c r="G319" s="6">
        <v>45639.0</v>
      </c>
      <c r="H319" s="2" t="s">
        <v>38</v>
      </c>
      <c r="I319" s="2" t="s">
        <v>39</v>
      </c>
      <c r="J319" s="2">
        <v>20967.4</v>
      </c>
    </row>
    <row r="320">
      <c r="A320" s="2" t="s">
        <v>801</v>
      </c>
      <c r="B320" s="2" t="s">
        <v>802</v>
      </c>
      <c r="C320" s="2" t="s">
        <v>22</v>
      </c>
      <c r="D320" s="2" t="s">
        <v>85</v>
      </c>
      <c r="E320" s="2" t="s">
        <v>111</v>
      </c>
      <c r="F320" s="2" t="s">
        <v>111</v>
      </c>
      <c r="G320" s="6">
        <v>45531.0</v>
      </c>
      <c r="H320" s="2" t="s">
        <v>108</v>
      </c>
      <c r="I320" s="2" t="s">
        <v>59</v>
      </c>
      <c r="J320" s="2">
        <v>27452.52</v>
      </c>
    </row>
    <row r="321">
      <c r="A321" s="2" t="s">
        <v>803</v>
      </c>
      <c r="B321" s="2" t="s">
        <v>804</v>
      </c>
      <c r="C321" s="2" t="s">
        <v>34</v>
      </c>
      <c r="D321" s="2" t="s">
        <v>51</v>
      </c>
      <c r="E321" s="2" t="s">
        <v>51</v>
      </c>
      <c r="F321" s="2" t="s">
        <v>51</v>
      </c>
      <c r="G321" s="6">
        <v>45656.0</v>
      </c>
      <c r="H321" s="2" t="s">
        <v>38</v>
      </c>
      <c r="I321" s="2" t="s">
        <v>39</v>
      </c>
      <c r="J321" s="2">
        <v>46395.5</v>
      </c>
    </row>
    <row r="322">
      <c r="A322" s="2" t="s">
        <v>805</v>
      </c>
      <c r="B322" s="2" t="s">
        <v>806</v>
      </c>
      <c r="C322" s="2" t="s">
        <v>22</v>
      </c>
      <c r="D322" s="2" t="s">
        <v>85</v>
      </c>
      <c r="E322" s="2" t="s">
        <v>24</v>
      </c>
      <c r="F322" s="2" t="s">
        <v>111</v>
      </c>
      <c r="G322" s="6">
        <v>45352.0</v>
      </c>
      <c r="H322" s="2" t="s">
        <v>44</v>
      </c>
      <c r="I322" s="2" t="s">
        <v>29</v>
      </c>
      <c r="J322" s="2">
        <v>23563.64</v>
      </c>
    </row>
    <row r="323">
      <c r="A323" s="2" t="s">
        <v>807</v>
      </c>
      <c r="B323" s="2" t="s">
        <v>808</v>
      </c>
      <c r="C323" s="2" t="s">
        <v>34</v>
      </c>
      <c r="D323" s="2" t="s">
        <v>31</v>
      </c>
      <c r="E323" s="2" t="s">
        <v>35</v>
      </c>
      <c r="F323" s="2" t="s">
        <v>31</v>
      </c>
      <c r="G323" s="6">
        <v>45547.0</v>
      </c>
      <c r="H323" s="2" t="s">
        <v>73</v>
      </c>
      <c r="I323" s="2" t="s">
        <v>59</v>
      </c>
      <c r="J323" s="2">
        <v>-16252.41</v>
      </c>
    </row>
    <row r="324">
      <c r="A324" s="2" t="s">
        <v>810</v>
      </c>
      <c r="B324" s="2" t="s">
        <v>811</v>
      </c>
      <c r="C324" s="2" t="s">
        <v>34</v>
      </c>
      <c r="D324" s="2" t="s">
        <v>31</v>
      </c>
      <c r="E324" s="2" t="s">
        <v>77</v>
      </c>
      <c r="F324" s="2" t="s">
        <v>31</v>
      </c>
      <c r="G324" s="6">
        <v>45553.0</v>
      </c>
      <c r="H324" s="2" t="s">
        <v>73</v>
      </c>
      <c r="I324" s="2" t="s">
        <v>59</v>
      </c>
      <c r="J324" s="2">
        <v>34171.79</v>
      </c>
    </row>
    <row r="325">
      <c r="A325" s="2" t="s">
        <v>812</v>
      </c>
      <c r="B325" s="2" t="s">
        <v>813</v>
      </c>
      <c r="C325" s="2" t="s">
        <v>22</v>
      </c>
      <c r="D325" s="2" t="s">
        <v>23</v>
      </c>
      <c r="E325" s="2" t="s">
        <v>63</v>
      </c>
      <c r="F325" s="2" t="s">
        <v>111</v>
      </c>
      <c r="G325" s="6">
        <v>45542.0</v>
      </c>
      <c r="H325" s="2" t="s">
        <v>73</v>
      </c>
      <c r="I325" s="2" t="s">
        <v>59</v>
      </c>
      <c r="J325" s="2">
        <v>220412.2</v>
      </c>
    </row>
    <row r="326">
      <c r="A326" s="2" t="s">
        <v>814</v>
      </c>
      <c r="B326" s="2" t="s">
        <v>815</v>
      </c>
      <c r="C326" s="2" t="s">
        <v>34</v>
      </c>
      <c r="D326" s="2" t="s">
        <v>31</v>
      </c>
      <c r="E326" s="2" t="s">
        <v>77</v>
      </c>
      <c r="F326" s="2" t="s">
        <v>31</v>
      </c>
      <c r="G326" s="6">
        <v>45491.0</v>
      </c>
      <c r="H326" s="2" t="s">
        <v>58</v>
      </c>
      <c r="I326" s="2" t="s">
        <v>59</v>
      </c>
      <c r="J326" s="2">
        <v>19693.47</v>
      </c>
    </row>
    <row r="327">
      <c r="A327" s="2" t="s">
        <v>817</v>
      </c>
      <c r="B327" s="2" t="s">
        <v>818</v>
      </c>
      <c r="C327" s="2" t="s">
        <v>34</v>
      </c>
      <c r="D327" s="2" t="s">
        <v>31</v>
      </c>
      <c r="E327" s="2" t="s">
        <v>145</v>
      </c>
      <c r="F327" s="2" t="s">
        <v>31</v>
      </c>
      <c r="G327" s="6">
        <v>45505.0</v>
      </c>
      <c r="H327" s="2" t="s">
        <v>108</v>
      </c>
      <c r="I327" s="2" t="s">
        <v>59</v>
      </c>
      <c r="J327" s="2">
        <v>14212.28</v>
      </c>
    </row>
    <row r="328">
      <c r="A328" s="2" t="s">
        <v>819</v>
      </c>
      <c r="B328" s="2" t="s">
        <v>537</v>
      </c>
      <c r="C328" s="2" t="s">
        <v>34</v>
      </c>
      <c r="D328" s="2" t="s">
        <v>51</v>
      </c>
      <c r="E328" s="2" t="s">
        <v>74</v>
      </c>
      <c r="F328" s="2" t="s">
        <v>51</v>
      </c>
      <c r="G328" s="6">
        <v>45292.0</v>
      </c>
      <c r="H328" s="2" t="s">
        <v>28</v>
      </c>
      <c r="I328" s="2" t="s">
        <v>29</v>
      </c>
      <c r="J328" s="2">
        <v>25745.59</v>
      </c>
    </row>
    <row r="329">
      <c r="A329" s="2" t="s">
        <v>820</v>
      </c>
      <c r="B329" s="2" t="s">
        <v>821</v>
      </c>
      <c r="C329" s="2" t="s">
        <v>34</v>
      </c>
      <c r="D329" s="2" t="s">
        <v>111</v>
      </c>
      <c r="E329" s="2" t="s">
        <v>97</v>
      </c>
      <c r="F329" s="2" t="s">
        <v>111</v>
      </c>
      <c r="G329" s="6">
        <v>45497.0</v>
      </c>
      <c r="H329" s="2" t="s">
        <v>58</v>
      </c>
      <c r="I329" s="2" t="s">
        <v>59</v>
      </c>
      <c r="J329" s="2">
        <v>9910.91</v>
      </c>
    </row>
    <row r="330">
      <c r="A330" s="2" t="s">
        <v>822</v>
      </c>
      <c r="B330" s="2" t="s">
        <v>823</v>
      </c>
      <c r="C330" s="2" t="s">
        <v>34</v>
      </c>
      <c r="D330" s="2" t="s">
        <v>31</v>
      </c>
      <c r="E330" s="2" t="s">
        <v>145</v>
      </c>
      <c r="F330" s="2" t="s">
        <v>31</v>
      </c>
      <c r="G330" s="6">
        <v>45850.0</v>
      </c>
      <c r="H330" s="2" t="s">
        <v>58</v>
      </c>
      <c r="I330" s="2" t="s">
        <v>59</v>
      </c>
      <c r="J330" s="2">
        <v>24265.56</v>
      </c>
    </row>
    <row r="331">
      <c r="A331" s="2" t="s">
        <v>824</v>
      </c>
      <c r="B331" s="2" t="s">
        <v>204</v>
      </c>
      <c r="C331" s="2" t="s">
        <v>22</v>
      </c>
      <c r="D331" s="2" t="s">
        <v>23</v>
      </c>
      <c r="E331" s="2" t="s">
        <v>111</v>
      </c>
      <c r="F331" s="2" t="s">
        <v>111</v>
      </c>
      <c r="G331" s="6">
        <v>45751.0</v>
      </c>
      <c r="H331" s="2" t="s">
        <v>66</v>
      </c>
      <c r="I331" s="2" t="s">
        <v>67</v>
      </c>
      <c r="J331" s="2">
        <v>116296.3</v>
      </c>
    </row>
    <row r="332">
      <c r="A332" s="2" t="s">
        <v>825</v>
      </c>
      <c r="B332" s="2" t="s">
        <v>826</v>
      </c>
      <c r="C332" s="2" t="s">
        <v>22</v>
      </c>
      <c r="D332" s="2" t="s">
        <v>85</v>
      </c>
      <c r="E332" s="2" t="s">
        <v>63</v>
      </c>
      <c r="F332" s="2" t="s">
        <v>111</v>
      </c>
      <c r="G332" s="6">
        <v>45406.0</v>
      </c>
      <c r="H332" s="2" t="s">
        <v>66</v>
      </c>
      <c r="I332" s="2" t="s">
        <v>67</v>
      </c>
      <c r="J332" s="2">
        <v>12023.83</v>
      </c>
    </row>
    <row r="333">
      <c r="A333" s="2" t="s">
        <v>827</v>
      </c>
      <c r="B333" s="2" t="s">
        <v>828</v>
      </c>
      <c r="C333" s="2" t="s">
        <v>22</v>
      </c>
      <c r="D333" s="2" t="s">
        <v>62</v>
      </c>
      <c r="E333" s="2" t="s">
        <v>97</v>
      </c>
      <c r="F333" s="2" t="s">
        <v>111</v>
      </c>
      <c r="G333" s="6">
        <v>45567.0</v>
      </c>
      <c r="H333" s="2" t="s">
        <v>49</v>
      </c>
      <c r="I333" s="2" t="s">
        <v>39</v>
      </c>
      <c r="J333" s="2">
        <v>6729.38</v>
      </c>
    </row>
    <row r="334">
      <c r="A334" s="2" t="s">
        <v>829</v>
      </c>
      <c r="B334" s="2" t="s">
        <v>830</v>
      </c>
      <c r="C334" s="2" t="s">
        <v>22</v>
      </c>
      <c r="D334" s="2" t="s">
        <v>23</v>
      </c>
      <c r="E334" s="2" t="s">
        <v>63</v>
      </c>
      <c r="F334" s="2" t="s">
        <v>111</v>
      </c>
      <c r="G334" s="6">
        <v>45357.0</v>
      </c>
      <c r="H334" s="2" t="s">
        <v>44</v>
      </c>
      <c r="I334" s="2" t="s">
        <v>29</v>
      </c>
      <c r="J334" s="2">
        <v>165591.88</v>
      </c>
    </row>
    <row r="335">
      <c r="A335" s="2" t="s">
        <v>831</v>
      </c>
      <c r="B335" s="2" t="s">
        <v>823</v>
      </c>
      <c r="C335" s="2" t="s">
        <v>34</v>
      </c>
      <c r="D335" s="2" t="s">
        <v>111</v>
      </c>
      <c r="E335" s="2" t="s">
        <v>111</v>
      </c>
      <c r="F335" s="2" t="s">
        <v>111</v>
      </c>
      <c r="G335" s="6">
        <v>45850.0</v>
      </c>
      <c r="H335" s="2" t="s">
        <v>58</v>
      </c>
      <c r="I335" s="2" t="s">
        <v>59</v>
      </c>
      <c r="J335" s="2">
        <v>27638.76</v>
      </c>
    </row>
    <row r="336">
      <c r="A336" s="2" t="s">
        <v>832</v>
      </c>
      <c r="B336" s="2" t="s">
        <v>833</v>
      </c>
      <c r="C336" s="2" t="s">
        <v>22</v>
      </c>
      <c r="D336" s="2" t="s">
        <v>62</v>
      </c>
      <c r="E336" s="2" t="s">
        <v>24</v>
      </c>
      <c r="F336" s="2" t="s">
        <v>111</v>
      </c>
      <c r="G336" s="6">
        <v>45650.0</v>
      </c>
      <c r="H336" s="2" t="s">
        <v>38</v>
      </c>
      <c r="I336" s="2" t="s">
        <v>39</v>
      </c>
      <c r="J336" s="2">
        <v>9605.66</v>
      </c>
    </row>
    <row r="337">
      <c r="A337" s="2" t="s">
        <v>834</v>
      </c>
      <c r="B337" s="2" t="s">
        <v>835</v>
      </c>
      <c r="C337" s="2" t="s">
        <v>22</v>
      </c>
      <c r="D337" s="2" t="s">
        <v>62</v>
      </c>
      <c r="E337" s="2" t="s">
        <v>97</v>
      </c>
      <c r="F337" s="2" t="s">
        <v>111</v>
      </c>
      <c r="G337" s="6">
        <v>45551.0</v>
      </c>
      <c r="H337" s="2" t="s">
        <v>73</v>
      </c>
      <c r="I337" s="2" t="s">
        <v>59</v>
      </c>
      <c r="J337" s="2">
        <v>26540.84</v>
      </c>
    </row>
    <row r="338">
      <c r="A338" s="2" t="s">
        <v>836</v>
      </c>
      <c r="B338" s="2" t="s">
        <v>318</v>
      </c>
      <c r="C338" s="2" t="s">
        <v>34</v>
      </c>
      <c r="D338" s="2" t="s">
        <v>111</v>
      </c>
      <c r="E338" s="2" t="s">
        <v>111</v>
      </c>
      <c r="F338" s="2" t="s">
        <v>111</v>
      </c>
      <c r="G338" s="6">
        <v>45476.0</v>
      </c>
      <c r="H338" s="2" t="s">
        <v>58</v>
      </c>
      <c r="I338" s="2" t="s">
        <v>59</v>
      </c>
      <c r="J338" s="2">
        <v>15635.53</v>
      </c>
    </row>
    <row r="339">
      <c r="A339" s="2" t="s">
        <v>837</v>
      </c>
      <c r="B339" s="2" t="s">
        <v>324</v>
      </c>
      <c r="C339" s="2" t="s">
        <v>34</v>
      </c>
      <c r="D339" s="2" t="s">
        <v>51</v>
      </c>
      <c r="E339" s="2" t="s">
        <v>50</v>
      </c>
      <c r="F339" s="2" t="s">
        <v>51</v>
      </c>
      <c r="G339" s="6">
        <v>45464.0</v>
      </c>
      <c r="H339" s="2" t="s">
        <v>113</v>
      </c>
      <c r="I339" s="2" t="s">
        <v>67</v>
      </c>
      <c r="J339" s="2">
        <v>8612.86</v>
      </c>
    </row>
    <row r="340">
      <c r="A340" s="2" t="s">
        <v>839</v>
      </c>
      <c r="B340" s="2" t="s">
        <v>840</v>
      </c>
      <c r="C340" s="2" t="s">
        <v>34</v>
      </c>
      <c r="D340" s="2" t="s">
        <v>51</v>
      </c>
      <c r="E340" s="2" t="s">
        <v>51</v>
      </c>
      <c r="F340" s="2" t="s">
        <v>51</v>
      </c>
      <c r="G340" s="6">
        <v>45292.0</v>
      </c>
      <c r="H340" s="2" t="s">
        <v>28</v>
      </c>
      <c r="I340" s="2" t="s">
        <v>29</v>
      </c>
      <c r="J340" s="2">
        <v>13484.88</v>
      </c>
    </row>
    <row r="341">
      <c r="A341" s="2" t="s">
        <v>841</v>
      </c>
      <c r="B341" s="2" t="s">
        <v>89</v>
      </c>
      <c r="C341" s="2" t="s">
        <v>34</v>
      </c>
      <c r="D341" s="2" t="s">
        <v>54</v>
      </c>
      <c r="E341" s="2" t="s">
        <v>54</v>
      </c>
      <c r="F341" s="2" t="s">
        <v>54</v>
      </c>
      <c r="G341" s="6">
        <v>45550.0</v>
      </c>
      <c r="H341" s="2" t="s">
        <v>73</v>
      </c>
      <c r="I341" s="2" t="s">
        <v>59</v>
      </c>
      <c r="J341" s="2">
        <v>41924.74</v>
      </c>
    </row>
    <row r="342">
      <c r="A342" s="2" t="s">
        <v>842</v>
      </c>
      <c r="B342" s="2" t="s">
        <v>843</v>
      </c>
      <c r="C342" s="2" t="s">
        <v>22</v>
      </c>
      <c r="D342" s="2" t="s">
        <v>23</v>
      </c>
      <c r="E342" s="2" t="s">
        <v>63</v>
      </c>
      <c r="F342" s="2" t="s">
        <v>111</v>
      </c>
      <c r="G342" s="6">
        <v>45571.0</v>
      </c>
      <c r="H342" s="2" t="s">
        <v>49</v>
      </c>
      <c r="I342" s="2" t="s">
        <v>39</v>
      </c>
      <c r="J342" s="2">
        <v>113226.46</v>
      </c>
    </row>
    <row r="343">
      <c r="A343" s="2" t="s">
        <v>844</v>
      </c>
      <c r="B343" s="2" t="s">
        <v>845</v>
      </c>
      <c r="C343" s="2" t="s">
        <v>34</v>
      </c>
      <c r="D343" s="2" t="s">
        <v>90</v>
      </c>
      <c r="E343" s="2" t="s">
        <v>91</v>
      </c>
      <c r="F343" s="2" t="s">
        <v>90</v>
      </c>
      <c r="G343" s="6">
        <v>45374.0</v>
      </c>
      <c r="H343" s="2" t="s">
        <v>44</v>
      </c>
      <c r="I343" s="2" t="s">
        <v>29</v>
      </c>
      <c r="J343" s="2">
        <v>32005.55</v>
      </c>
    </row>
    <row r="344">
      <c r="A344" s="2" t="s">
        <v>846</v>
      </c>
      <c r="B344" s="2" t="s">
        <v>847</v>
      </c>
      <c r="C344" s="2" t="s">
        <v>22</v>
      </c>
      <c r="D344" s="2" t="s">
        <v>85</v>
      </c>
      <c r="E344" s="2" t="s">
        <v>97</v>
      </c>
      <c r="F344" s="2" t="s">
        <v>111</v>
      </c>
      <c r="G344" s="6">
        <v>45518.0</v>
      </c>
      <c r="H344" s="2" t="s">
        <v>108</v>
      </c>
      <c r="I344" s="2" t="s">
        <v>59</v>
      </c>
      <c r="J344" s="2">
        <v>19486.69</v>
      </c>
    </row>
    <row r="345">
      <c r="A345" s="2" t="s">
        <v>848</v>
      </c>
      <c r="B345" s="2" t="s">
        <v>849</v>
      </c>
      <c r="C345" s="2" t="s">
        <v>22</v>
      </c>
      <c r="D345" s="2" t="s">
        <v>23</v>
      </c>
      <c r="E345" s="2" t="s">
        <v>97</v>
      </c>
      <c r="F345" s="2" t="s">
        <v>111</v>
      </c>
      <c r="G345" s="6">
        <v>45438.0</v>
      </c>
      <c r="H345" s="2" t="s">
        <v>87</v>
      </c>
      <c r="I345" s="2" t="s">
        <v>67</v>
      </c>
      <c r="J345" s="2">
        <v>531585.49</v>
      </c>
    </row>
    <row r="346">
      <c r="A346" s="2" t="s">
        <v>850</v>
      </c>
      <c r="B346" s="2" t="s">
        <v>851</v>
      </c>
      <c r="C346" s="2" t="s">
        <v>22</v>
      </c>
      <c r="D346" s="2" t="s">
        <v>62</v>
      </c>
      <c r="E346" s="2" t="s">
        <v>97</v>
      </c>
      <c r="F346" s="2" t="s">
        <v>111</v>
      </c>
      <c r="G346" s="6">
        <v>46143.0</v>
      </c>
      <c r="H346" s="2" t="s">
        <v>87</v>
      </c>
      <c r="I346" s="2" t="s">
        <v>67</v>
      </c>
      <c r="J346" s="2">
        <v>5970.79</v>
      </c>
    </row>
    <row r="347">
      <c r="A347" s="2" t="s">
        <v>852</v>
      </c>
      <c r="B347" s="2" t="s">
        <v>785</v>
      </c>
      <c r="C347" s="2" t="s">
        <v>22</v>
      </c>
      <c r="D347" s="2" t="s">
        <v>62</v>
      </c>
      <c r="E347" s="2" t="s">
        <v>24</v>
      </c>
      <c r="F347" s="2" t="s">
        <v>111</v>
      </c>
      <c r="G347" s="6">
        <v>45903.0</v>
      </c>
      <c r="H347" s="2" t="s">
        <v>73</v>
      </c>
      <c r="I347" s="2" t="s">
        <v>59</v>
      </c>
      <c r="J347" s="2">
        <v>7996.18</v>
      </c>
    </row>
    <row r="348">
      <c r="A348" s="2" t="s">
        <v>853</v>
      </c>
      <c r="B348" s="2" t="s">
        <v>854</v>
      </c>
      <c r="C348" s="2" t="s">
        <v>34</v>
      </c>
      <c r="D348" s="2" t="s">
        <v>111</v>
      </c>
      <c r="E348" s="2" t="s">
        <v>24</v>
      </c>
      <c r="F348" s="2" t="s">
        <v>111</v>
      </c>
      <c r="G348" s="6">
        <v>45396.0</v>
      </c>
      <c r="H348" s="2" t="s">
        <v>66</v>
      </c>
      <c r="I348" s="2" t="s">
        <v>67</v>
      </c>
      <c r="J348" s="2">
        <v>22496.08</v>
      </c>
    </row>
    <row r="349">
      <c r="A349" s="2" t="s">
        <v>855</v>
      </c>
      <c r="B349" s="2" t="s">
        <v>856</v>
      </c>
      <c r="C349" s="2" t="s">
        <v>34</v>
      </c>
      <c r="D349" s="2" t="s">
        <v>90</v>
      </c>
      <c r="E349" s="2" t="s">
        <v>90</v>
      </c>
      <c r="F349" s="2" t="s">
        <v>90</v>
      </c>
      <c r="G349" s="6">
        <v>45443.0</v>
      </c>
      <c r="H349" s="2" t="s">
        <v>87</v>
      </c>
      <c r="I349" s="2" t="s">
        <v>67</v>
      </c>
      <c r="J349" s="2">
        <v>-6686.72</v>
      </c>
    </row>
    <row r="350">
      <c r="A350" s="2" t="s">
        <v>857</v>
      </c>
      <c r="B350" s="2" t="s">
        <v>295</v>
      </c>
      <c r="C350" s="2" t="s">
        <v>22</v>
      </c>
      <c r="D350" s="2" t="s">
        <v>23</v>
      </c>
      <c r="E350" s="2" t="s">
        <v>24</v>
      </c>
      <c r="F350" s="2" t="s">
        <v>111</v>
      </c>
      <c r="G350" s="6">
        <v>45427.0</v>
      </c>
      <c r="H350" s="2" t="s">
        <v>87</v>
      </c>
      <c r="I350" s="2" t="s">
        <v>67</v>
      </c>
      <c r="J350" s="2">
        <v>83542.91</v>
      </c>
    </row>
    <row r="351">
      <c r="A351" s="2" t="s">
        <v>858</v>
      </c>
      <c r="B351" s="2" t="s">
        <v>859</v>
      </c>
      <c r="C351" s="2" t="s">
        <v>22</v>
      </c>
      <c r="D351" s="2" t="s">
        <v>23</v>
      </c>
      <c r="E351" s="2" t="s">
        <v>97</v>
      </c>
      <c r="F351" s="2" t="s">
        <v>111</v>
      </c>
      <c r="G351" s="6">
        <v>45504.0</v>
      </c>
      <c r="H351" s="2" t="s">
        <v>58</v>
      </c>
      <c r="I351" s="2" t="s">
        <v>59</v>
      </c>
      <c r="J351" s="2">
        <v>75751.62</v>
      </c>
    </row>
    <row r="352">
      <c r="A352" s="2" t="s">
        <v>860</v>
      </c>
      <c r="B352" s="2" t="s">
        <v>861</v>
      </c>
      <c r="C352" s="2" t="s">
        <v>34</v>
      </c>
      <c r="D352" s="2" t="s">
        <v>90</v>
      </c>
      <c r="E352" s="2" t="s">
        <v>114</v>
      </c>
      <c r="F352" s="2" t="s">
        <v>90</v>
      </c>
      <c r="G352" s="6">
        <v>45495.0</v>
      </c>
      <c r="H352" s="2" t="s">
        <v>58</v>
      </c>
      <c r="I352" s="2" t="s">
        <v>59</v>
      </c>
      <c r="J352" s="2">
        <v>18194.73</v>
      </c>
    </row>
    <row r="353">
      <c r="A353" s="2" t="s">
        <v>862</v>
      </c>
      <c r="B353" s="2" t="s">
        <v>863</v>
      </c>
      <c r="C353" s="2" t="s">
        <v>22</v>
      </c>
      <c r="D353" s="2" t="s">
        <v>62</v>
      </c>
      <c r="E353" s="2" t="s">
        <v>97</v>
      </c>
      <c r="F353" s="2" t="s">
        <v>111</v>
      </c>
      <c r="G353" s="6">
        <v>46147.0</v>
      </c>
      <c r="H353" s="2" t="s">
        <v>87</v>
      </c>
      <c r="I353" s="2" t="s">
        <v>67</v>
      </c>
      <c r="J353" s="2">
        <v>8905.44</v>
      </c>
    </row>
    <row r="354">
      <c r="A354" s="2" t="s">
        <v>864</v>
      </c>
      <c r="B354" s="2" t="s">
        <v>865</v>
      </c>
      <c r="C354" s="2" t="s">
        <v>34</v>
      </c>
      <c r="D354" s="2" t="s">
        <v>31</v>
      </c>
      <c r="E354" s="2" t="s">
        <v>77</v>
      </c>
      <c r="F354" s="2" t="s">
        <v>31</v>
      </c>
      <c r="G354" s="6">
        <v>45466.0</v>
      </c>
      <c r="H354" s="2" t="s">
        <v>113</v>
      </c>
      <c r="I354" s="2" t="s">
        <v>67</v>
      </c>
      <c r="J354" s="2">
        <v>17949.12</v>
      </c>
    </row>
    <row r="355">
      <c r="A355" s="2" t="s">
        <v>866</v>
      </c>
      <c r="B355" s="2" t="s">
        <v>867</v>
      </c>
      <c r="C355" s="2" t="s">
        <v>34</v>
      </c>
      <c r="D355" s="2" t="s">
        <v>54</v>
      </c>
      <c r="E355" s="2" t="s">
        <v>124</v>
      </c>
      <c r="F355" s="2" t="s">
        <v>54</v>
      </c>
      <c r="G355" s="6">
        <v>45303.0</v>
      </c>
      <c r="H355" s="2" t="s">
        <v>28</v>
      </c>
      <c r="I355" s="2" t="s">
        <v>29</v>
      </c>
      <c r="J355" s="2">
        <v>37316.33</v>
      </c>
    </row>
    <row r="356">
      <c r="A356" s="2" t="s">
        <v>868</v>
      </c>
      <c r="B356" s="2" t="s">
        <v>869</v>
      </c>
      <c r="C356" s="2" t="s">
        <v>22</v>
      </c>
      <c r="D356" s="2" t="s">
        <v>23</v>
      </c>
      <c r="E356" s="2" t="s">
        <v>63</v>
      </c>
      <c r="F356" s="2" t="s">
        <v>111</v>
      </c>
      <c r="G356" s="6">
        <v>45579.0</v>
      </c>
      <c r="H356" s="2" t="s">
        <v>49</v>
      </c>
      <c r="I356" s="2" t="s">
        <v>39</v>
      </c>
      <c r="J356" s="2">
        <v>209846.8</v>
      </c>
    </row>
    <row r="357">
      <c r="A357" s="2" t="s">
        <v>870</v>
      </c>
      <c r="B357" s="2" t="s">
        <v>721</v>
      </c>
      <c r="C357" s="2" t="s">
        <v>22</v>
      </c>
      <c r="D357" s="2" t="s">
        <v>23</v>
      </c>
      <c r="E357" s="2" t="s">
        <v>63</v>
      </c>
      <c r="F357" s="2" t="s">
        <v>111</v>
      </c>
      <c r="G357" s="6">
        <v>45627.0</v>
      </c>
      <c r="H357" s="2" t="s">
        <v>38</v>
      </c>
      <c r="I357" s="2" t="s">
        <v>39</v>
      </c>
      <c r="J357" s="2">
        <v>162179.84</v>
      </c>
    </row>
    <row r="358">
      <c r="A358" s="2" t="s">
        <v>871</v>
      </c>
      <c r="B358" s="2" t="s">
        <v>872</v>
      </c>
      <c r="C358" s="2" t="s">
        <v>22</v>
      </c>
      <c r="D358" s="2" t="s">
        <v>23</v>
      </c>
      <c r="E358" s="2" t="s">
        <v>24</v>
      </c>
      <c r="F358" s="2" t="s">
        <v>111</v>
      </c>
      <c r="G358" s="6">
        <v>45590.0</v>
      </c>
      <c r="H358" s="2" t="s">
        <v>49</v>
      </c>
      <c r="I358" s="2" t="s">
        <v>39</v>
      </c>
      <c r="J358" s="2">
        <v>129276.49</v>
      </c>
    </row>
    <row r="359">
      <c r="A359" s="2" t="s">
        <v>873</v>
      </c>
      <c r="B359" s="2" t="s">
        <v>128</v>
      </c>
      <c r="C359" s="2" t="s">
        <v>22</v>
      </c>
      <c r="D359" s="2" t="s">
        <v>85</v>
      </c>
      <c r="E359" s="2" t="s">
        <v>111</v>
      </c>
      <c r="F359" s="2" t="s">
        <v>111</v>
      </c>
      <c r="G359" s="6">
        <v>45306.0</v>
      </c>
      <c r="H359" s="2" t="s">
        <v>28</v>
      </c>
      <c r="I359" s="2" t="s">
        <v>29</v>
      </c>
      <c r="J359" s="2">
        <v>16017.53</v>
      </c>
    </row>
    <row r="360">
      <c r="A360" s="2" t="s">
        <v>874</v>
      </c>
      <c r="B360" s="2" t="s">
        <v>875</v>
      </c>
      <c r="C360" s="2" t="s">
        <v>34</v>
      </c>
      <c r="D360" s="2" t="s">
        <v>82</v>
      </c>
      <c r="E360" s="2" t="s">
        <v>99</v>
      </c>
      <c r="F360" s="2" t="s">
        <v>82</v>
      </c>
      <c r="G360" s="6">
        <v>45501.0</v>
      </c>
      <c r="H360" s="2" t="s">
        <v>58</v>
      </c>
      <c r="I360" s="2" t="s">
        <v>59</v>
      </c>
      <c r="J360" s="2">
        <v>19390.3</v>
      </c>
    </row>
    <row r="361">
      <c r="A361" s="2" t="s">
        <v>876</v>
      </c>
      <c r="B361" s="2" t="s">
        <v>311</v>
      </c>
      <c r="C361" s="2" t="s">
        <v>34</v>
      </c>
      <c r="D361" s="2" t="s">
        <v>82</v>
      </c>
      <c r="E361" s="2" t="s">
        <v>94</v>
      </c>
      <c r="F361" s="2" t="s">
        <v>82</v>
      </c>
      <c r="G361" s="6">
        <v>45580.0</v>
      </c>
      <c r="H361" s="2" t="s">
        <v>49</v>
      </c>
      <c r="I361" s="2" t="s">
        <v>39</v>
      </c>
      <c r="J361" s="2">
        <v>28515.08</v>
      </c>
    </row>
    <row r="362">
      <c r="A362" s="2" t="s">
        <v>877</v>
      </c>
      <c r="B362" s="2" t="s">
        <v>878</v>
      </c>
      <c r="C362" s="2" t="s">
        <v>22</v>
      </c>
      <c r="D362" s="2" t="s">
        <v>23</v>
      </c>
      <c r="E362" s="2" t="s">
        <v>24</v>
      </c>
      <c r="F362" s="2" t="s">
        <v>111</v>
      </c>
      <c r="G362" s="6">
        <v>45615.0</v>
      </c>
      <c r="H362" s="2" t="s">
        <v>142</v>
      </c>
      <c r="I362" s="2" t="s">
        <v>39</v>
      </c>
      <c r="J362" s="2">
        <v>163657.57</v>
      </c>
    </row>
    <row r="363">
      <c r="A363" s="2" t="s">
        <v>879</v>
      </c>
      <c r="B363" s="2" t="s">
        <v>880</v>
      </c>
      <c r="C363" s="2" t="s">
        <v>22</v>
      </c>
      <c r="D363" s="2" t="s">
        <v>62</v>
      </c>
      <c r="E363" s="2" t="s">
        <v>111</v>
      </c>
      <c r="F363" s="2" t="s">
        <v>111</v>
      </c>
      <c r="G363" s="6">
        <v>45477.0</v>
      </c>
      <c r="H363" s="2" t="s">
        <v>58</v>
      </c>
      <c r="I363" s="2" t="s">
        <v>59</v>
      </c>
      <c r="J363" s="2">
        <v>10367.57</v>
      </c>
    </row>
    <row r="364">
      <c r="A364" s="2" t="s">
        <v>881</v>
      </c>
      <c r="B364" s="2" t="s">
        <v>882</v>
      </c>
      <c r="C364" s="2" t="s">
        <v>34</v>
      </c>
      <c r="D364" s="2" t="s">
        <v>82</v>
      </c>
      <c r="E364" s="2" t="s">
        <v>82</v>
      </c>
      <c r="F364" s="2" t="s">
        <v>82</v>
      </c>
      <c r="G364" s="6">
        <v>45535.0</v>
      </c>
      <c r="H364" s="2" t="s">
        <v>108</v>
      </c>
      <c r="I364" s="2" t="s">
        <v>59</v>
      </c>
      <c r="J364" s="2">
        <v>15849.72</v>
      </c>
    </row>
    <row r="365">
      <c r="A365" s="2" t="s">
        <v>883</v>
      </c>
      <c r="B365" s="2" t="s">
        <v>101</v>
      </c>
      <c r="C365" s="2" t="s">
        <v>34</v>
      </c>
      <c r="D365" s="2" t="s">
        <v>54</v>
      </c>
      <c r="E365" s="2" t="s">
        <v>130</v>
      </c>
      <c r="F365" s="2" t="s">
        <v>54</v>
      </c>
      <c r="G365" s="6">
        <v>45366.0</v>
      </c>
      <c r="H365" s="2" t="s">
        <v>44</v>
      </c>
      <c r="I365" s="2" t="s">
        <v>29</v>
      </c>
      <c r="J365" s="2">
        <v>35436.05</v>
      </c>
    </row>
    <row r="366">
      <c r="A366" s="2" t="s">
        <v>884</v>
      </c>
      <c r="B366" s="2" t="s">
        <v>885</v>
      </c>
      <c r="C366" s="2" t="s">
        <v>22</v>
      </c>
      <c r="D366" s="2" t="s">
        <v>85</v>
      </c>
      <c r="E366" s="2" t="s">
        <v>63</v>
      </c>
      <c r="F366" s="2" t="s">
        <v>111</v>
      </c>
      <c r="G366" s="6">
        <v>45465.0</v>
      </c>
      <c r="H366" s="2" t="s">
        <v>113</v>
      </c>
      <c r="I366" s="2" t="s">
        <v>67</v>
      </c>
      <c r="J366" s="2">
        <v>26178.47</v>
      </c>
    </row>
    <row r="367">
      <c r="A367" s="2" t="s">
        <v>886</v>
      </c>
      <c r="B367" s="2" t="s">
        <v>653</v>
      </c>
      <c r="C367" s="2" t="s">
        <v>34</v>
      </c>
      <c r="D367" s="2" t="s">
        <v>90</v>
      </c>
      <c r="E367" s="2" t="s">
        <v>90</v>
      </c>
      <c r="F367" s="2" t="s">
        <v>90</v>
      </c>
      <c r="G367" s="6">
        <v>45337.0</v>
      </c>
      <c r="H367" s="2" t="s">
        <v>126</v>
      </c>
      <c r="I367" s="2" t="s">
        <v>29</v>
      </c>
      <c r="J367" s="2">
        <v>11843.51</v>
      </c>
    </row>
    <row r="368">
      <c r="A368" s="2" t="s">
        <v>888</v>
      </c>
      <c r="B368" s="2" t="s">
        <v>889</v>
      </c>
      <c r="C368" s="2" t="s">
        <v>34</v>
      </c>
      <c r="D368" s="2" t="s">
        <v>51</v>
      </c>
      <c r="E368" s="2" t="s">
        <v>50</v>
      </c>
      <c r="F368" s="2" t="s">
        <v>51</v>
      </c>
      <c r="G368" s="6">
        <v>45296.0</v>
      </c>
      <c r="H368" s="2" t="s">
        <v>28</v>
      </c>
      <c r="I368" s="2" t="s">
        <v>29</v>
      </c>
      <c r="J368" s="2">
        <v>19498.84</v>
      </c>
    </row>
    <row r="369">
      <c r="A369" s="2" t="s">
        <v>890</v>
      </c>
      <c r="B369" s="2" t="s">
        <v>891</v>
      </c>
      <c r="C369" s="2" t="s">
        <v>34</v>
      </c>
      <c r="D369" s="2" t="s">
        <v>90</v>
      </c>
      <c r="E369" s="2" t="s">
        <v>104</v>
      </c>
      <c r="F369" s="2" t="s">
        <v>90</v>
      </c>
      <c r="G369" s="6">
        <v>45609.0</v>
      </c>
      <c r="H369" s="2" t="s">
        <v>142</v>
      </c>
      <c r="I369" s="2" t="s">
        <v>39</v>
      </c>
      <c r="J369" s="2">
        <v>9885.61</v>
      </c>
    </row>
    <row r="370">
      <c r="A370" s="2" t="s">
        <v>892</v>
      </c>
      <c r="B370" s="2" t="s">
        <v>574</v>
      </c>
      <c r="C370" s="2" t="s">
        <v>22</v>
      </c>
      <c r="D370" s="2" t="s">
        <v>85</v>
      </c>
      <c r="E370" s="2" t="s">
        <v>97</v>
      </c>
      <c r="F370" s="2" t="s">
        <v>111</v>
      </c>
      <c r="G370" s="6">
        <v>45344.0</v>
      </c>
      <c r="H370" s="2" t="s">
        <v>126</v>
      </c>
      <c r="I370" s="2" t="s">
        <v>29</v>
      </c>
      <c r="J370" s="2">
        <v>22295.38</v>
      </c>
    </row>
    <row r="371">
      <c r="A371" s="2" t="s">
        <v>893</v>
      </c>
      <c r="B371" s="2" t="s">
        <v>894</v>
      </c>
      <c r="C371" s="2" t="s">
        <v>34</v>
      </c>
      <c r="D371" s="2" t="s">
        <v>54</v>
      </c>
      <c r="E371" s="2" t="s">
        <v>196</v>
      </c>
      <c r="F371" s="2" t="s">
        <v>54</v>
      </c>
      <c r="G371" s="6">
        <v>45646.0</v>
      </c>
      <c r="H371" s="2" t="s">
        <v>38</v>
      </c>
      <c r="I371" s="2" t="s">
        <v>39</v>
      </c>
      <c r="J371" s="2">
        <v>24393.09</v>
      </c>
    </row>
    <row r="372">
      <c r="A372" s="2" t="s">
        <v>896</v>
      </c>
      <c r="B372" s="2" t="s">
        <v>897</v>
      </c>
      <c r="C372" s="2" t="s">
        <v>34</v>
      </c>
      <c r="D372" s="2" t="s">
        <v>90</v>
      </c>
      <c r="E372" s="2" t="s">
        <v>114</v>
      </c>
      <c r="F372" s="2" t="s">
        <v>90</v>
      </c>
      <c r="G372" s="6">
        <v>45456.0</v>
      </c>
      <c r="H372" s="2" t="s">
        <v>113</v>
      </c>
      <c r="I372" s="2" t="s">
        <v>67</v>
      </c>
      <c r="J372" s="2">
        <v>16743.67</v>
      </c>
    </row>
    <row r="373">
      <c r="A373" s="2" t="s">
        <v>898</v>
      </c>
      <c r="B373" s="2" t="s">
        <v>899</v>
      </c>
      <c r="C373" s="2" t="s">
        <v>34</v>
      </c>
      <c r="D373" s="2" t="s">
        <v>82</v>
      </c>
      <c r="E373" s="2" t="s">
        <v>81</v>
      </c>
      <c r="F373" s="2" t="s">
        <v>82</v>
      </c>
      <c r="G373" s="6">
        <v>45632.0</v>
      </c>
      <c r="H373" s="2" t="s">
        <v>38</v>
      </c>
      <c r="I373" s="2" t="s">
        <v>39</v>
      </c>
      <c r="J373" s="2">
        <v>42631.05</v>
      </c>
    </row>
    <row r="374">
      <c r="A374" s="2" t="s">
        <v>900</v>
      </c>
      <c r="B374" s="2" t="s">
        <v>459</v>
      </c>
      <c r="C374" s="2" t="s">
        <v>22</v>
      </c>
      <c r="D374" s="2" t="s">
        <v>23</v>
      </c>
      <c r="E374" s="2" t="s">
        <v>24</v>
      </c>
      <c r="F374" s="2" t="s">
        <v>111</v>
      </c>
      <c r="G374" s="6">
        <v>45783.0</v>
      </c>
      <c r="H374" s="2" t="s">
        <v>87</v>
      </c>
      <c r="I374" s="2" t="s">
        <v>67</v>
      </c>
      <c r="J374" s="2">
        <v>0.0</v>
      </c>
    </row>
    <row r="375">
      <c r="A375" s="2" t="s">
        <v>901</v>
      </c>
      <c r="B375" s="2" t="s">
        <v>902</v>
      </c>
      <c r="C375" s="2" t="s">
        <v>22</v>
      </c>
      <c r="D375" s="2" t="s">
        <v>23</v>
      </c>
      <c r="E375" s="2" t="s">
        <v>97</v>
      </c>
      <c r="F375" s="2" t="s">
        <v>111</v>
      </c>
      <c r="G375" s="6">
        <v>45497.0</v>
      </c>
      <c r="H375" s="2" t="s">
        <v>58</v>
      </c>
      <c r="I375" s="2" t="s">
        <v>59</v>
      </c>
      <c r="J375" s="2">
        <v>171835.24</v>
      </c>
    </row>
    <row r="376">
      <c r="A376" s="2" t="s">
        <v>903</v>
      </c>
      <c r="B376" s="2" t="s">
        <v>904</v>
      </c>
      <c r="C376" s="2" t="s">
        <v>34</v>
      </c>
      <c r="D376" s="2" t="s">
        <v>51</v>
      </c>
      <c r="E376" s="2" t="s">
        <v>68</v>
      </c>
      <c r="F376" s="2" t="s">
        <v>51</v>
      </c>
      <c r="G376" s="6">
        <v>45401.0</v>
      </c>
      <c r="H376" s="2" t="s">
        <v>66</v>
      </c>
      <c r="I376" s="2" t="s">
        <v>67</v>
      </c>
      <c r="J376" s="2">
        <v>19543.59</v>
      </c>
    </row>
    <row r="377">
      <c r="A377" s="2" t="s">
        <v>905</v>
      </c>
      <c r="B377" s="2" t="s">
        <v>906</v>
      </c>
      <c r="C377" s="2" t="s">
        <v>34</v>
      </c>
      <c r="D377" s="2" t="s">
        <v>51</v>
      </c>
      <c r="E377" s="2" t="s">
        <v>68</v>
      </c>
      <c r="F377" s="2" t="s">
        <v>51</v>
      </c>
      <c r="G377" s="6">
        <v>45515.0</v>
      </c>
      <c r="H377" s="2" t="s">
        <v>108</v>
      </c>
      <c r="I377" s="2" t="s">
        <v>59</v>
      </c>
      <c r="J377" s="2">
        <v>19698.32</v>
      </c>
    </row>
    <row r="378">
      <c r="A378" s="2" t="s">
        <v>907</v>
      </c>
      <c r="B378" s="2" t="s">
        <v>247</v>
      </c>
      <c r="C378" s="2" t="s">
        <v>22</v>
      </c>
      <c r="D378" s="2" t="s">
        <v>85</v>
      </c>
      <c r="E378" s="2" t="s">
        <v>111</v>
      </c>
      <c r="F378" s="2" t="s">
        <v>111</v>
      </c>
      <c r="G378" s="6">
        <v>45397.0</v>
      </c>
      <c r="H378" s="2" t="s">
        <v>66</v>
      </c>
      <c r="I378" s="2" t="s">
        <v>67</v>
      </c>
      <c r="J378" s="2">
        <v>25317.63</v>
      </c>
    </row>
    <row r="379">
      <c r="A379" s="2" t="s">
        <v>908</v>
      </c>
      <c r="B379" s="2" t="s">
        <v>909</v>
      </c>
      <c r="C379" s="2" t="s">
        <v>34</v>
      </c>
      <c r="D379" s="2" t="s">
        <v>111</v>
      </c>
      <c r="E379" s="2" t="s">
        <v>24</v>
      </c>
      <c r="F379" s="2" t="s">
        <v>111</v>
      </c>
      <c r="G379" s="6">
        <v>45528.0</v>
      </c>
      <c r="H379" s="2" t="s">
        <v>108</v>
      </c>
      <c r="I379" s="2" t="s">
        <v>59</v>
      </c>
      <c r="J379" s="2">
        <v>19485.51</v>
      </c>
    </row>
    <row r="380">
      <c r="A380" s="2" t="s">
        <v>910</v>
      </c>
      <c r="B380" s="2" t="s">
        <v>911</v>
      </c>
      <c r="C380" s="2" t="s">
        <v>34</v>
      </c>
      <c r="D380" s="2" t="s">
        <v>111</v>
      </c>
      <c r="E380" s="2" t="s">
        <v>24</v>
      </c>
      <c r="F380" s="2" t="s">
        <v>111</v>
      </c>
      <c r="G380" s="6">
        <v>45514.0</v>
      </c>
      <c r="H380" s="2" t="s">
        <v>108</v>
      </c>
      <c r="I380" s="2" t="s">
        <v>59</v>
      </c>
      <c r="J380" s="2">
        <v>7932.02</v>
      </c>
    </row>
    <row r="381">
      <c r="A381" s="2" t="s">
        <v>912</v>
      </c>
      <c r="B381" s="2" t="s">
        <v>913</v>
      </c>
      <c r="C381" s="2" t="s">
        <v>34</v>
      </c>
      <c r="D381" s="2" t="s">
        <v>111</v>
      </c>
      <c r="E381" s="2" t="s">
        <v>24</v>
      </c>
      <c r="F381" s="2" t="s">
        <v>111</v>
      </c>
      <c r="G381" s="6">
        <v>45532.0</v>
      </c>
      <c r="H381" s="2" t="s">
        <v>108</v>
      </c>
      <c r="I381" s="2" t="s">
        <v>59</v>
      </c>
      <c r="J381" s="2">
        <v>13859.5</v>
      </c>
    </row>
    <row r="382">
      <c r="A382" s="2" t="s">
        <v>915</v>
      </c>
      <c r="B382" s="2" t="s">
        <v>916</v>
      </c>
      <c r="C382" s="2" t="s">
        <v>34</v>
      </c>
      <c r="D382" s="2" t="s">
        <v>111</v>
      </c>
      <c r="E382" s="2" t="s">
        <v>111</v>
      </c>
      <c r="F382" s="2" t="s">
        <v>111</v>
      </c>
      <c r="G382" s="6">
        <v>45313.0</v>
      </c>
      <c r="H382" s="2" t="s">
        <v>28</v>
      </c>
      <c r="I382" s="2" t="s">
        <v>29</v>
      </c>
      <c r="J382" s="2">
        <v>12370.87</v>
      </c>
    </row>
    <row r="383">
      <c r="A383" s="2" t="s">
        <v>917</v>
      </c>
      <c r="B383" s="2" t="s">
        <v>918</v>
      </c>
      <c r="C383" s="2" t="s">
        <v>34</v>
      </c>
      <c r="D383" s="2" t="s">
        <v>90</v>
      </c>
      <c r="E383" s="2" t="s">
        <v>114</v>
      </c>
      <c r="F383" s="2" t="s">
        <v>90</v>
      </c>
      <c r="G383" s="6">
        <v>45655.0</v>
      </c>
      <c r="H383" s="2" t="s">
        <v>38</v>
      </c>
      <c r="I383" s="2" t="s">
        <v>39</v>
      </c>
      <c r="J383" s="2">
        <v>9563.6</v>
      </c>
    </row>
    <row r="384">
      <c r="A384" s="2" t="s">
        <v>920</v>
      </c>
      <c r="B384" s="2" t="s">
        <v>332</v>
      </c>
      <c r="C384" s="2" t="s">
        <v>34</v>
      </c>
      <c r="D384" s="2" t="s">
        <v>54</v>
      </c>
      <c r="E384" s="2" t="s">
        <v>130</v>
      </c>
      <c r="F384" s="2" t="s">
        <v>54</v>
      </c>
      <c r="G384" s="6">
        <v>45458.0</v>
      </c>
      <c r="H384" s="2" t="s">
        <v>113</v>
      </c>
      <c r="I384" s="2" t="s">
        <v>67</v>
      </c>
      <c r="J384" s="2">
        <v>55900.99</v>
      </c>
    </row>
    <row r="385">
      <c r="A385" s="2" t="s">
        <v>921</v>
      </c>
      <c r="B385" s="2" t="s">
        <v>922</v>
      </c>
      <c r="C385" s="2" t="s">
        <v>34</v>
      </c>
      <c r="D385" s="2" t="s">
        <v>54</v>
      </c>
      <c r="E385" s="2" t="s">
        <v>196</v>
      </c>
      <c r="F385" s="2" t="s">
        <v>54</v>
      </c>
      <c r="G385" s="6">
        <v>45389.0</v>
      </c>
      <c r="H385" s="2" t="s">
        <v>66</v>
      </c>
      <c r="I385" s="2" t="s">
        <v>67</v>
      </c>
      <c r="J385" s="2">
        <v>24503.39</v>
      </c>
    </row>
    <row r="386">
      <c r="A386" s="2" t="s">
        <v>923</v>
      </c>
      <c r="B386" s="2" t="s">
        <v>924</v>
      </c>
      <c r="C386" s="2" t="s">
        <v>34</v>
      </c>
      <c r="D386" s="2" t="s">
        <v>54</v>
      </c>
      <c r="E386" s="2" t="s">
        <v>196</v>
      </c>
      <c r="F386" s="2" t="s">
        <v>54</v>
      </c>
      <c r="G386" s="6">
        <v>45385.0</v>
      </c>
      <c r="H386" s="2" t="s">
        <v>66</v>
      </c>
      <c r="I386" s="2" t="s">
        <v>67</v>
      </c>
      <c r="J386" s="2">
        <v>22418.56</v>
      </c>
    </row>
    <row r="387">
      <c r="A387" s="2" t="s">
        <v>925</v>
      </c>
      <c r="B387" s="2" t="s">
        <v>926</v>
      </c>
      <c r="C387" s="2" t="s">
        <v>22</v>
      </c>
      <c r="D387" s="2" t="s">
        <v>62</v>
      </c>
      <c r="E387" s="2" t="s">
        <v>111</v>
      </c>
      <c r="F387" s="2" t="s">
        <v>111</v>
      </c>
      <c r="G387" s="6">
        <v>45376.0</v>
      </c>
      <c r="H387" s="2" t="s">
        <v>44</v>
      </c>
      <c r="I387" s="2" t="s">
        <v>29</v>
      </c>
      <c r="J387" s="2">
        <v>7246.32</v>
      </c>
    </row>
    <row r="388">
      <c r="A388" s="2" t="s">
        <v>927</v>
      </c>
      <c r="B388" s="2" t="s">
        <v>928</v>
      </c>
      <c r="C388" s="2" t="s">
        <v>34</v>
      </c>
      <c r="D388" s="2" t="s">
        <v>51</v>
      </c>
      <c r="E388" s="2" t="s">
        <v>50</v>
      </c>
      <c r="F388" s="2" t="s">
        <v>51</v>
      </c>
      <c r="G388" s="6">
        <v>45367.0</v>
      </c>
      <c r="H388" s="2" t="s">
        <v>44</v>
      </c>
      <c r="I388" s="2" t="s">
        <v>29</v>
      </c>
      <c r="J388" s="2">
        <v>23418.92</v>
      </c>
    </row>
    <row r="389">
      <c r="A389" s="2" t="s">
        <v>929</v>
      </c>
      <c r="B389" s="2" t="s">
        <v>295</v>
      </c>
      <c r="C389" s="2" t="s">
        <v>34</v>
      </c>
      <c r="D389" s="2" t="s">
        <v>111</v>
      </c>
      <c r="E389" s="2" t="s">
        <v>111</v>
      </c>
      <c r="F389" s="2" t="s">
        <v>111</v>
      </c>
      <c r="G389" s="6">
        <v>45427.0</v>
      </c>
      <c r="H389" s="2" t="s">
        <v>87</v>
      </c>
      <c r="I389" s="2" t="s">
        <v>67</v>
      </c>
      <c r="J389" s="2">
        <v>28699.41</v>
      </c>
    </row>
    <row r="390">
      <c r="A390" s="2" t="s">
        <v>930</v>
      </c>
      <c r="B390" s="2" t="s">
        <v>101</v>
      </c>
      <c r="C390" s="2" t="s">
        <v>22</v>
      </c>
      <c r="D390" s="2" t="s">
        <v>85</v>
      </c>
      <c r="E390" s="2" t="s">
        <v>24</v>
      </c>
      <c r="F390" s="2" t="s">
        <v>111</v>
      </c>
      <c r="G390" s="6">
        <v>45366.0</v>
      </c>
      <c r="H390" s="2" t="s">
        <v>44</v>
      </c>
      <c r="I390" s="2" t="s">
        <v>29</v>
      </c>
      <c r="J390" s="2">
        <v>15114.36</v>
      </c>
    </row>
    <row r="391">
      <c r="A391" s="2" t="s">
        <v>931</v>
      </c>
      <c r="B391" s="2" t="s">
        <v>280</v>
      </c>
      <c r="C391" s="2" t="s">
        <v>22</v>
      </c>
      <c r="D391" s="2" t="s">
        <v>62</v>
      </c>
      <c r="E391" s="2" t="s">
        <v>111</v>
      </c>
      <c r="F391" s="2" t="s">
        <v>111</v>
      </c>
      <c r="G391" s="6">
        <v>45457.0</v>
      </c>
      <c r="H391" s="2" t="s">
        <v>113</v>
      </c>
      <c r="I391" s="2" t="s">
        <v>67</v>
      </c>
      <c r="J391" s="2">
        <v>5219.21</v>
      </c>
    </row>
    <row r="392">
      <c r="A392" s="2" t="s">
        <v>932</v>
      </c>
      <c r="B392" s="2" t="s">
        <v>933</v>
      </c>
      <c r="C392" s="2" t="s">
        <v>22</v>
      </c>
      <c r="D392" s="2" t="s">
        <v>85</v>
      </c>
      <c r="E392" s="2" t="s">
        <v>63</v>
      </c>
      <c r="F392" s="2" t="s">
        <v>111</v>
      </c>
      <c r="G392" s="6">
        <v>45557.0</v>
      </c>
      <c r="H392" s="2" t="s">
        <v>73</v>
      </c>
      <c r="I392" s="2" t="s">
        <v>59</v>
      </c>
      <c r="J392" s="2">
        <v>26621.42</v>
      </c>
    </row>
    <row r="393">
      <c r="A393" s="2" t="s">
        <v>934</v>
      </c>
      <c r="B393" s="2" t="s">
        <v>935</v>
      </c>
      <c r="C393" s="2" t="s">
        <v>34</v>
      </c>
      <c r="D393" s="2" t="s">
        <v>51</v>
      </c>
      <c r="E393" s="2" t="s">
        <v>74</v>
      </c>
      <c r="F393" s="2" t="s">
        <v>51</v>
      </c>
      <c r="G393" s="6">
        <v>45424.0</v>
      </c>
      <c r="H393" s="2" t="s">
        <v>87</v>
      </c>
      <c r="I393" s="2" t="s">
        <v>67</v>
      </c>
      <c r="J393" s="2">
        <v>10885.03</v>
      </c>
    </row>
    <row r="394">
      <c r="A394" s="2" t="s">
        <v>936</v>
      </c>
      <c r="B394" s="2" t="s">
        <v>937</v>
      </c>
      <c r="C394" s="2" t="s">
        <v>22</v>
      </c>
      <c r="D394" s="2" t="s">
        <v>85</v>
      </c>
      <c r="E394" s="2" t="s">
        <v>63</v>
      </c>
      <c r="F394" s="2" t="s">
        <v>111</v>
      </c>
      <c r="G394" s="6">
        <v>45613.0</v>
      </c>
      <c r="H394" s="2" t="s">
        <v>142</v>
      </c>
      <c r="I394" s="2" t="s">
        <v>39</v>
      </c>
      <c r="J394" s="2">
        <v>12123.24</v>
      </c>
    </row>
    <row r="395">
      <c r="A395" s="2" t="s">
        <v>938</v>
      </c>
      <c r="B395" s="2" t="s">
        <v>939</v>
      </c>
      <c r="C395" s="2" t="s">
        <v>22</v>
      </c>
      <c r="D395" s="2" t="s">
        <v>23</v>
      </c>
      <c r="E395" s="2" t="s">
        <v>97</v>
      </c>
      <c r="F395" s="2" t="s">
        <v>111</v>
      </c>
      <c r="G395" s="6">
        <v>45488.0</v>
      </c>
      <c r="H395" s="2" t="s">
        <v>58</v>
      </c>
      <c r="I395" s="2" t="s">
        <v>59</v>
      </c>
      <c r="J395" s="2">
        <v>117310.86</v>
      </c>
    </row>
    <row r="396">
      <c r="A396" s="2" t="s">
        <v>941</v>
      </c>
      <c r="B396" s="2" t="s">
        <v>942</v>
      </c>
      <c r="C396" s="2" t="s">
        <v>22</v>
      </c>
      <c r="D396" s="2" t="s">
        <v>62</v>
      </c>
      <c r="E396" s="2" t="s">
        <v>63</v>
      </c>
      <c r="F396" s="2" t="s">
        <v>111</v>
      </c>
      <c r="G396" s="6">
        <v>45608.0</v>
      </c>
      <c r="H396" s="2" t="s">
        <v>142</v>
      </c>
      <c r="I396" s="2" t="s">
        <v>39</v>
      </c>
      <c r="J396" s="2">
        <v>11152.72</v>
      </c>
    </row>
    <row r="397">
      <c r="A397" s="2" t="s">
        <v>943</v>
      </c>
      <c r="B397" s="2" t="s">
        <v>944</v>
      </c>
      <c r="C397" s="2" t="s">
        <v>34</v>
      </c>
      <c r="D397" s="2" t="s">
        <v>82</v>
      </c>
      <c r="E397" s="2" t="s">
        <v>94</v>
      </c>
      <c r="F397" s="2" t="s">
        <v>82</v>
      </c>
      <c r="G397" s="6">
        <v>45561.0</v>
      </c>
      <c r="H397" s="2" t="s">
        <v>73</v>
      </c>
      <c r="I397" s="2" t="s">
        <v>59</v>
      </c>
      <c r="J397" s="2">
        <v>26371.51</v>
      </c>
    </row>
    <row r="398">
      <c r="A398" s="2" t="s">
        <v>946</v>
      </c>
      <c r="B398" s="2" t="s">
        <v>760</v>
      </c>
      <c r="C398" s="2" t="s">
        <v>22</v>
      </c>
      <c r="D398" s="2" t="s">
        <v>62</v>
      </c>
      <c r="E398" s="2" t="s">
        <v>63</v>
      </c>
      <c r="F398" s="2" t="s">
        <v>111</v>
      </c>
      <c r="G398" s="6">
        <v>45463.0</v>
      </c>
      <c r="H398" s="2" t="s">
        <v>113</v>
      </c>
      <c r="I398" s="2" t="s">
        <v>67</v>
      </c>
      <c r="J398" s="2">
        <v>22455.63</v>
      </c>
    </row>
    <row r="399">
      <c r="A399" s="2" t="s">
        <v>947</v>
      </c>
      <c r="B399" s="2" t="s">
        <v>737</v>
      </c>
      <c r="C399" s="2" t="s">
        <v>34</v>
      </c>
      <c r="D399" s="2" t="s">
        <v>31</v>
      </c>
      <c r="E399" s="2" t="s">
        <v>77</v>
      </c>
      <c r="F399" s="2" t="s">
        <v>31</v>
      </c>
      <c r="G399" s="6">
        <v>45488.0</v>
      </c>
      <c r="H399" s="2" t="s">
        <v>58</v>
      </c>
      <c r="I399" s="2" t="s">
        <v>59</v>
      </c>
      <c r="J399" s="2">
        <v>18830.28</v>
      </c>
    </row>
    <row r="400">
      <c r="A400" s="2" t="s">
        <v>948</v>
      </c>
      <c r="B400" s="2" t="s">
        <v>949</v>
      </c>
      <c r="C400" s="2" t="s">
        <v>34</v>
      </c>
      <c r="D400" s="2" t="s">
        <v>31</v>
      </c>
      <c r="E400" s="2" t="s">
        <v>31</v>
      </c>
      <c r="F400" s="2" t="s">
        <v>31</v>
      </c>
      <c r="G400" s="6">
        <v>45644.0</v>
      </c>
      <c r="H400" s="2" t="s">
        <v>38</v>
      </c>
      <c r="I400" s="2" t="s">
        <v>39</v>
      </c>
      <c r="J400" s="2">
        <v>51631.2</v>
      </c>
    </row>
    <row r="401">
      <c r="A401" s="2" t="s">
        <v>950</v>
      </c>
      <c r="B401" s="2" t="s">
        <v>951</v>
      </c>
      <c r="C401" s="2" t="s">
        <v>22</v>
      </c>
      <c r="D401" s="2" t="s">
        <v>85</v>
      </c>
      <c r="E401" s="2" t="s">
        <v>63</v>
      </c>
      <c r="F401" s="2" t="s">
        <v>111</v>
      </c>
      <c r="G401" s="6">
        <v>45602.0</v>
      </c>
      <c r="H401" s="2" t="s">
        <v>142</v>
      </c>
      <c r="I401" s="2" t="s">
        <v>39</v>
      </c>
      <c r="J401" s="2">
        <v>12701.28</v>
      </c>
    </row>
    <row r="402">
      <c r="A402" s="2" t="s">
        <v>952</v>
      </c>
      <c r="B402" s="2" t="s">
        <v>953</v>
      </c>
      <c r="C402" s="2" t="s">
        <v>34</v>
      </c>
      <c r="D402" s="2" t="s">
        <v>31</v>
      </c>
      <c r="E402" s="2" t="s">
        <v>35</v>
      </c>
      <c r="F402" s="2" t="s">
        <v>31</v>
      </c>
      <c r="G402" s="6">
        <v>45587.0</v>
      </c>
      <c r="H402" s="2" t="s">
        <v>49</v>
      </c>
      <c r="I402" s="2" t="s">
        <v>39</v>
      </c>
      <c r="J402" s="2">
        <v>41796.02</v>
      </c>
    </row>
    <row r="403">
      <c r="A403" s="2" t="s">
        <v>954</v>
      </c>
      <c r="B403" s="2" t="s">
        <v>128</v>
      </c>
      <c r="C403" s="2" t="s">
        <v>34</v>
      </c>
      <c r="D403" s="2" t="s">
        <v>54</v>
      </c>
      <c r="E403" s="2" t="s">
        <v>124</v>
      </c>
      <c r="F403" s="2" t="s">
        <v>54</v>
      </c>
      <c r="G403" s="6">
        <v>45306.0</v>
      </c>
      <c r="H403" s="2" t="s">
        <v>28</v>
      </c>
      <c r="I403" s="2" t="s">
        <v>29</v>
      </c>
      <c r="J403" s="2">
        <v>29031.45</v>
      </c>
    </row>
    <row r="404">
      <c r="A404" s="2" t="s">
        <v>955</v>
      </c>
      <c r="B404" s="2" t="s">
        <v>956</v>
      </c>
      <c r="C404" s="2" t="s">
        <v>34</v>
      </c>
      <c r="D404" s="2" t="s">
        <v>54</v>
      </c>
      <c r="E404" s="2" t="s">
        <v>54</v>
      </c>
      <c r="F404" s="2" t="s">
        <v>54</v>
      </c>
      <c r="G404" s="6">
        <v>45599.0</v>
      </c>
      <c r="H404" s="2" t="s">
        <v>142</v>
      </c>
      <c r="I404" s="2" t="s">
        <v>39</v>
      </c>
      <c r="J404" s="2">
        <v>-11011.65</v>
      </c>
    </row>
    <row r="405">
      <c r="A405" s="2" t="s">
        <v>957</v>
      </c>
      <c r="B405" s="2" t="s">
        <v>295</v>
      </c>
      <c r="C405" s="2" t="s">
        <v>22</v>
      </c>
      <c r="D405" s="2" t="s">
        <v>85</v>
      </c>
      <c r="E405" s="2" t="s">
        <v>97</v>
      </c>
      <c r="F405" s="2" t="s">
        <v>111</v>
      </c>
      <c r="G405" s="6">
        <v>45427.0</v>
      </c>
      <c r="H405" s="2" t="s">
        <v>87</v>
      </c>
      <c r="I405" s="2" t="s">
        <v>67</v>
      </c>
      <c r="J405" s="2">
        <v>12844.68</v>
      </c>
    </row>
    <row r="406">
      <c r="A406" s="2" t="s">
        <v>958</v>
      </c>
      <c r="B406" s="2" t="s">
        <v>959</v>
      </c>
      <c r="C406" s="2" t="s">
        <v>22</v>
      </c>
      <c r="D406" s="2" t="s">
        <v>85</v>
      </c>
      <c r="E406" s="2" t="s">
        <v>97</v>
      </c>
      <c r="F406" s="2" t="s">
        <v>111</v>
      </c>
      <c r="G406" s="6">
        <v>45810.0</v>
      </c>
      <c r="H406" s="2" t="s">
        <v>113</v>
      </c>
      <c r="I406" s="2" t="s">
        <v>67</v>
      </c>
      <c r="J406" s="2">
        <v>11855.51</v>
      </c>
    </row>
    <row r="407">
      <c r="A407" s="2" t="s">
        <v>960</v>
      </c>
      <c r="B407" s="2" t="s">
        <v>415</v>
      </c>
      <c r="C407" s="2" t="s">
        <v>34</v>
      </c>
      <c r="D407" s="2" t="s">
        <v>51</v>
      </c>
      <c r="E407" s="2" t="s">
        <v>50</v>
      </c>
      <c r="F407" s="2" t="s">
        <v>51</v>
      </c>
      <c r="G407" s="6">
        <v>45344.0</v>
      </c>
      <c r="H407" s="2" t="s">
        <v>126</v>
      </c>
      <c r="I407" s="2" t="s">
        <v>29</v>
      </c>
      <c r="J407" s="2">
        <v>22223.37</v>
      </c>
    </row>
    <row r="408">
      <c r="A408" s="2" t="s">
        <v>962</v>
      </c>
      <c r="B408" s="2" t="s">
        <v>963</v>
      </c>
      <c r="C408" s="2" t="s">
        <v>34</v>
      </c>
      <c r="D408" s="2" t="s">
        <v>54</v>
      </c>
      <c r="E408" s="2" t="s">
        <v>54</v>
      </c>
      <c r="F408" s="2" t="s">
        <v>54</v>
      </c>
      <c r="G408" s="6">
        <v>45473.0</v>
      </c>
      <c r="H408" s="2" t="s">
        <v>113</v>
      </c>
      <c r="I408" s="2" t="s">
        <v>67</v>
      </c>
      <c r="J408" s="2">
        <v>-46864.82</v>
      </c>
    </row>
    <row r="409">
      <c r="A409" s="2" t="s">
        <v>964</v>
      </c>
      <c r="B409" s="2" t="s">
        <v>965</v>
      </c>
      <c r="C409" s="2" t="s">
        <v>34</v>
      </c>
      <c r="D409" s="2" t="s">
        <v>82</v>
      </c>
      <c r="E409" s="2" t="s">
        <v>99</v>
      </c>
      <c r="F409" s="2" t="s">
        <v>82</v>
      </c>
      <c r="G409" s="6">
        <v>45726.0</v>
      </c>
      <c r="H409" s="2" t="s">
        <v>44</v>
      </c>
      <c r="I409" s="2" t="s">
        <v>29</v>
      </c>
      <c r="J409" s="2">
        <v>27652.77</v>
      </c>
    </row>
    <row r="410">
      <c r="A410" s="2" t="s">
        <v>967</v>
      </c>
      <c r="B410" s="2" t="s">
        <v>968</v>
      </c>
      <c r="C410" s="2" t="s">
        <v>34</v>
      </c>
      <c r="D410" s="2" t="s">
        <v>51</v>
      </c>
      <c r="E410" s="2" t="s">
        <v>68</v>
      </c>
      <c r="F410" s="2" t="s">
        <v>51</v>
      </c>
      <c r="G410" s="6">
        <v>45568.0</v>
      </c>
      <c r="H410" s="2" t="s">
        <v>49</v>
      </c>
      <c r="I410" s="2" t="s">
        <v>39</v>
      </c>
      <c r="J410" s="2">
        <v>15813.3</v>
      </c>
    </row>
    <row r="411">
      <c r="A411" s="2" t="s">
        <v>970</v>
      </c>
      <c r="B411" s="2" t="s">
        <v>692</v>
      </c>
      <c r="C411" s="2" t="s">
        <v>34</v>
      </c>
      <c r="D411" s="2" t="s">
        <v>90</v>
      </c>
      <c r="E411" s="2" t="s">
        <v>90</v>
      </c>
      <c r="F411" s="2" t="s">
        <v>90</v>
      </c>
      <c r="G411" s="6">
        <v>45306.0</v>
      </c>
      <c r="H411" s="2" t="s">
        <v>28</v>
      </c>
      <c r="I411" s="2" t="s">
        <v>29</v>
      </c>
      <c r="J411" s="2">
        <v>9653.12</v>
      </c>
    </row>
    <row r="412">
      <c r="A412" s="2" t="s">
        <v>971</v>
      </c>
      <c r="B412" s="2" t="s">
        <v>128</v>
      </c>
      <c r="C412" s="2" t="s">
        <v>22</v>
      </c>
      <c r="D412" s="2" t="s">
        <v>62</v>
      </c>
      <c r="E412" s="2" t="s">
        <v>63</v>
      </c>
      <c r="F412" s="2" t="s">
        <v>111</v>
      </c>
      <c r="G412" s="6">
        <v>45306.0</v>
      </c>
      <c r="H412" s="2" t="s">
        <v>28</v>
      </c>
      <c r="I412" s="2" t="s">
        <v>29</v>
      </c>
      <c r="J412" s="2">
        <v>6154.67</v>
      </c>
    </row>
    <row r="413">
      <c r="A413" s="2" t="s">
        <v>972</v>
      </c>
      <c r="B413" s="2" t="s">
        <v>973</v>
      </c>
      <c r="C413" s="2" t="s">
        <v>34</v>
      </c>
      <c r="D413" s="2" t="s">
        <v>111</v>
      </c>
      <c r="E413" s="2" t="s">
        <v>24</v>
      </c>
      <c r="F413" s="2" t="s">
        <v>111</v>
      </c>
      <c r="G413" s="6">
        <v>45648.0</v>
      </c>
      <c r="H413" s="2" t="s">
        <v>38</v>
      </c>
      <c r="I413" s="2" t="s">
        <v>39</v>
      </c>
      <c r="J413" s="2">
        <v>26560.34</v>
      </c>
    </row>
    <row r="414">
      <c r="A414" s="2" t="s">
        <v>974</v>
      </c>
      <c r="B414" s="2" t="s">
        <v>975</v>
      </c>
      <c r="C414" s="2" t="s">
        <v>22</v>
      </c>
      <c r="D414" s="2" t="s">
        <v>62</v>
      </c>
      <c r="E414" s="2" t="s">
        <v>97</v>
      </c>
      <c r="F414" s="2" t="s">
        <v>111</v>
      </c>
      <c r="G414" s="6">
        <v>45386.0</v>
      </c>
      <c r="H414" s="2" t="s">
        <v>66</v>
      </c>
      <c r="I414" s="2" t="s">
        <v>67</v>
      </c>
      <c r="J414" s="2">
        <v>4744.35</v>
      </c>
    </row>
    <row r="415">
      <c r="A415" s="2" t="s">
        <v>976</v>
      </c>
      <c r="B415" s="2" t="s">
        <v>977</v>
      </c>
      <c r="C415" s="2" t="s">
        <v>22</v>
      </c>
      <c r="D415" s="2" t="s">
        <v>23</v>
      </c>
      <c r="E415" s="2" t="s">
        <v>63</v>
      </c>
      <c r="F415" s="2" t="s">
        <v>111</v>
      </c>
      <c r="G415" s="6">
        <v>45510.0</v>
      </c>
      <c r="H415" s="2" t="s">
        <v>108</v>
      </c>
      <c r="I415" s="2" t="s">
        <v>59</v>
      </c>
      <c r="J415" s="2">
        <v>85221.74</v>
      </c>
    </row>
    <row r="416">
      <c r="A416" s="2" t="s">
        <v>978</v>
      </c>
      <c r="B416" s="2" t="s">
        <v>979</v>
      </c>
      <c r="C416" s="2" t="s">
        <v>22</v>
      </c>
      <c r="D416" s="2" t="s">
        <v>23</v>
      </c>
      <c r="E416" s="2" t="s">
        <v>63</v>
      </c>
      <c r="F416" s="2" t="s">
        <v>111</v>
      </c>
      <c r="G416" s="6">
        <v>45724.0</v>
      </c>
      <c r="H416" s="2" t="s">
        <v>44</v>
      </c>
      <c r="I416" s="2" t="s">
        <v>29</v>
      </c>
      <c r="J416" s="2">
        <v>138943.06</v>
      </c>
    </row>
    <row r="417">
      <c r="A417" s="2" t="s">
        <v>980</v>
      </c>
      <c r="B417" s="2" t="s">
        <v>653</v>
      </c>
      <c r="C417" s="2" t="s">
        <v>22</v>
      </c>
      <c r="D417" s="2" t="s">
        <v>23</v>
      </c>
      <c r="E417" s="2" t="s">
        <v>111</v>
      </c>
      <c r="F417" s="2" t="s">
        <v>111</v>
      </c>
      <c r="G417" s="6">
        <v>45337.0</v>
      </c>
      <c r="H417" s="2" t="s">
        <v>126</v>
      </c>
      <c r="I417" s="2" t="s">
        <v>29</v>
      </c>
      <c r="J417" s="2">
        <v>161006.46</v>
      </c>
    </row>
    <row r="418">
      <c r="A418" s="2" t="s">
        <v>981</v>
      </c>
      <c r="B418" s="2" t="s">
        <v>655</v>
      </c>
      <c r="C418" s="2" t="s">
        <v>34</v>
      </c>
      <c r="D418" s="2" t="s">
        <v>51</v>
      </c>
      <c r="E418" s="2" t="s">
        <v>68</v>
      </c>
      <c r="F418" s="2" t="s">
        <v>51</v>
      </c>
      <c r="G418" s="6">
        <v>45522.0</v>
      </c>
      <c r="H418" s="2" t="s">
        <v>108</v>
      </c>
      <c r="I418" s="2" t="s">
        <v>59</v>
      </c>
      <c r="J418" s="2">
        <v>2456.96</v>
      </c>
    </row>
    <row r="419">
      <c r="A419" s="2" t="s">
        <v>982</v>
      </c>
      <c r="B419" s="2" t="s">
        <v>983</v>
      </c>
      <c r="C419" s="2" t="s">
        <v>34</v>
      </c>
      <c r="D419" s="2" t="s">
        <v>54</v>
      </c>
      <c r="E419" s="2" t="s">
        <v>130</v>
      </c>
      <c r="F419" s="2" t="s">
        <v>54</v>
      </c>
      <c r="G419" s="6">
        <v>45420.0</v>
      </c>
      <c r="H419" s="2" t="s">
        <v>87</v>
      </c>
      <c r="I419" s="2" t="s">
        <v>67</v>
      </c>
      <c r="J419" s="2">
        <v>61644.56</v>
      </c>
    </row>
    <row r="420">
      <c r="A420" s="2" t="s">
        <v>984</v>
      </c>
      <c r="B420" s="2" t="s">
        <v>985</v>
      </c>
      <c r="C420" s="2" t="s">
        <v>34</v>
      </c>
      <c r="D420" s="2" t="s">
        <v>51</v>
      </c>
      <c r="E420" s="2" t="s">
        <v>74</v>
      </c>
      <c r="F420" s="2" t="s">
        <v>51</v>
      </c>
      <c r="G420" s="6">
        <v>45699.0</v>
      </c>
      <c r="H420" s="2" t="s">
        <v>126</v>
      </c>
      <c r="I420" s="2" t="s">
        <v>29</v>
      </c>
      <c r="J420" s="2">
        <v>38889.63</v>
      </c>
    </row>
    <row r="421">
      <c r="A421" s="2" t="s">
        <v>986</v>
      </c>
      <c r="B421" s="2" t="s">
        <v>160</v>
      </c>
      <c r="C421" s="2" t="s">
        <v>34</v>
      </c>
      <c r="D421" s="2" t="s">
        <v>82</v>
      </c>
      <c r="E421" s="2" t="s">
        <v>418</v>
      </c>
      <c r="F421" s="2" t="s">
        <v>82</v>
      </c>
      <c r="G421" s="6">
        <v>45434.0</v>
      </c>
      <c r="H421" s="2" t="s">
        <v>87</v>
      </c>
      <c r="I421" s="2" t="s">
        <v>67</v>
      </c>
      <c r="J421" s="2">
        <v>31898.67</v>
      </c>
    </row>
    <row r="422">
      <c r="A422" s="2" t="s">
        <v>987</v>
      </c>
      <c r="B422" s="2" t="s">
        <v>988</v>
      </c>
      <c r="C422" s="2" t="s">
        <v>34</v>
      </c>
      <c r="D422" s="2" t="s">
        <v>31</v>
      </c>
      <c r="E422" s="2" t="s">
        <v>77</v>
      </c>
      <c r="F422" s="2" t="s">
        <v>31</v>
      </c>
      <c r="G422" s="6">
        <v>45601.0</v>
      </c>
      <c r="H422" s="2" t="s">
        <v>142</v>
      </c>
      <c r="I422" s="2" t="s">
        <v>39</v>
      </c>
      <c r="J422" s="2">
        <v>26242.06</v>
      </c>
    </row>
    <row r="423">
      <c r="A423" s="2" t="s">
        <v>989</v>
      </c>
      <c r="B423" s="2" t="s">
        <v>990</v>
      </c>
      <c r="C423" s="2" t="s">
        <v>34</v>
      </c>
      <c r="D423" s="2" t="s">
        <v>54</v>
      </c>
      <c r="E423" s="2" t="s">
        <v>124</v>
      </c>
      <c r="F423" s="2" t="s">
        <v>54</v>
      </c>
      <c r="G423" s="6">
        <v>45370.0</v>
      </c>
      <c r="H423" s="2" t="s">
        <v>44</v>
      </c>
      <c r="I423" s="2" t="s">
        <v>29</v>
      </c>
      <c r="J423" s="2">
        <v>88488.85</v>
      </c>
    </row>
    <row r="424">
      <c r="A424" s="2" t="s">
        <v>991</v>
      </c>
      <c r="B424" s="2" t="s">
        <v>308</v>
      </c>
      <c r="C424" s="2" t="s">
        <v>34</v>
      </c>
      <c r="D424" s="2" t="s">
        <v>51</v>
      </c>
      <c r="E424" s="2" t="s">
        <v>74</v>
      </c>
      <c r="F424" s="2" t="s">
        <v>51</v>
      </c>
      <c r="G424" s="6">
        <v>45351.0</v>
      </c>
      <c r="H424" s="2" t="s">
        <v>126</v>
      </c>
      <c r="I424" s="2" t="s">
        <v>29</v>
      </c>
      <c r="J424" s="2">
        <v>11803.74</v>
      </c>
    </row>
    <row r="425">
      <c r="A425" s="2" t="s">
        <v>993</v>
      </c>
      <c r="B425" s="2" t="s">
        <v>994</v>
      </c>
      <c r="C425" s="2" t="s">
        <v>34</v>
      </c>
      <c r="D425" s="2" t="s">
        <v>90</v>
      </c>
      <c r="E425" s="2" t="s">
        <v>91</v>
      </c>
      <c r="F425" s="2" t="s">
        <v>90</v>
      </c>
      <c r="G425" s="6">
        <v>45361.0</v>
      </c>
      <c r="H425" s="2" t="s">
        <v>44</v>
      </c>
      <c r="I425" s="2" t="s">
        <v>29</v>
      </c>
      <c r="J425" s="2">
        <v>9571.09</v>
      </c>
    </row>
    <row r="426">
      <c r="A426" s="2" t="s">
        <v>996</v>
      </c>
      <c r="B426" s="2" t="s">
        <v>997</v>
      </c>
      <c r="C426" s="2" t="s">
        <v>22</v>
      </c>
      <c r="D426" s="2" t="s">
        <v>62</v>
      </c>
      <c r="E426" s="2" t="s">
        <v>97</v>
      </c>
      <c r="F426" s="2" t="s">
        <v>111</v>
      </c>
      <c r="G426" s="6">
        <v>45629.0</v>
      </c>
      <c r="H426" s="2" t="s">
        <v>38</v>
      </c>
      <c r="I426" s="2" t="s">
        <v>39</v>
      </c>
      <c r="J426" s="2">
        <v>23344.58</v>
      </c>
    </row>
    <row r="427">
      <c r="A427" s="2" t="s">
        <v>998</v>
      </c>
      <c r="B427" s="2" t="s">
        <v>999</v>
      </c>
      <c r="C427" s="2" t="s">
        <v>34</v>
      </c>
      <c r="D427" s="2" t="s">
        <v>90</v>
      </c>
      <c r="E427" s="2" t="s">
        <v>104</v>
      </c>
      <c r="F427" s="2" t="s">
        <v>90</v>
      </c>
      <c r="G427" s="6">
        <v>45317.0</v>
      </c>
      <c r="H427" s="2" t="s">
        <v>28</v>
      </c>
      <c r="I427" s="2" t="s">
        <v>29</v>
      </c>
      <c r="J427" s="2">
        <v>12886.5</v>
      </c>
    </row>
    <row r="428">
      <c r="A428" s="2" t="s">
        <v>1001</v>
      </c>
      <c r="B428" s="2" t="s">
        <v>528</v>
      </c>
      <c r="C428" s="2" t="s">
        <v>22</v>
      </c>
      <c r="D428" s="2" t="s">
        <v>85</v>
      </c>
      <c r="E428" s="2" t="s">
        <v>63</v>
      </c>
      <c r="F428" s="2" t="s">
        <v>111</v>
      </c>
      <c r="G428" s="6">
        <v>45294.0</v>
      </c>
      <c r="H428" s="2" t="s">
        <v>28</v>
      </c>
      <c r="I428" s="2" t="s">
        <v>29</v>
      </c>
      <c r="J428" s="2">
        <v>12822.66</v>
      </c>
    </row>
    <row r="429">
      <c r="A429" s="2" t="s">
        <v>1002</v>
      </c>
      <c r="B429" s="2" t="s">
        <v>1003</v>
      </c>
      <c r="C429" s="2" t="s">
        <v>34</v>
      </c>
      <c r="D429" s="2" t="s">
        <v>82</v>
      </c>
      <c r="E429" s="2" t="s">
        <v>94</v>
      </c>
      <c r="F429" s="2" t="s">
        <v>82</v>
      </c>
      <c r="G429" s="6">
        <v>45329.0</v>
      </c>
      <c r="H429" s="2" t="s">
        <v>126</v>
      </c>
      <c r="I429" s="2" t="s">
        <v>29</v>
      </c>
      <c r="J429" s="2">
        <v>93977.54</v>
      </c>
    </row>
    <row r="430">
      <c r="A430" s="2" t="s">
        <v>1004</v>
      </c>
      <c r="B430" s="2" t="s">
        <v>1005</v>
      </c>
      <c r="C430" s="2" t="s">
        <v>34</v>
      </c>
      <c r="D430" s="2" t="s">
        <v>90</v>
      </c>
      <c r="E430" s="2" t="s">
        <v>91</v>
      </c>
      <c r="F430" s="2" t="s">
        <v>90</v>
      </c>
      <c r="G430" s="6">
        <v>45332.0</v>
      </c>
      <c r="H430" s="2" t="s">
        <v>126</v>
      </c>
      <c r="I430" s="2" t="s">
        <v>29</v>
      </c>
      <c r="J430" s="2">
        <v>7786.69</v>
      </c>
    </row>
    <row r="431">
      <c r="A431" s="2" t="s">
        <v>1006</v>
      </c>
      <c r="B431" s="2" t="s">
        <v>1007</v>
      </c>
      <c r="C431" s="2" t="s">
        <v>34</v>
      </c>
      <c r="D431" s="2" t="s">
        <v>111</v>
      </c>
      <c r="E431" s="2" t="s">
        <v>111</v>
      </c>
      <c r="F431" s="2" t="s">
        <v>111</v>
      </c>
      <c r="G431" s="6">
        <v>45584.0</v>
      </c>
      <c r="H431" s="2" t="s">
        <v>49</v>
      </c>
      <c r="I431" s="2" t="s">
        <v>39</v>
      </c>
      <c r="J431" s="2">
        <v>26624.19</v>
      </c>
    </row>
    <row r="432">
      <c r="A432" s="2" t="s">
        <v>1008</v>
      </c>
      <c r="B432" s="2" t="s">
        <v>1009</v>
      </c>
      <c r="C432" s="2" t="s">
        <v>34</v>
      </c>
      <c r="D432" s="2" t="s">
        <v>54</v>
      </c>
      <c r="E432" s="2" t="s">
        <v>55</v>
      </c>
      <c r="F432" s="2" t="s">
        <v>54</v>
      </c>
      <c r="G432" s="6">
        <v>45596.0</v>
      </c>
      <c r="H432" s="2" t="s">
        <v>49</v>
      </c>
      <c r="I432" s="2" t="s">
        <v>39</v>
      </c>
      <c r="J432" s="2">
        <v>49008.37</v>
      </c>
    </row>
    <row r="433">
      <c r="A433" s="2" t="s">
        <v>1010</v>
      </c>
      <c r="B433" s="2" t="s">
        <v>305</v>
      </c>
      <c r="C433" s="2" t="s">
        <v>22</v>
      </c>
      <c r="D433" s="2" t="s">
        <v>62</v>
      </c>
      <c r="E433" s="2" t="s">
        <v>24</v>
      </c>
      <c r="F433" s="2" t="s">
        <v>111</v>
      </c>
      <c r="G433" s="6">
        <v>45344.0</v>
      </c>
      <c r="H433" s="2" t="s">
        <v>126</v>
      </c>
      <c r="I433" s="2" t="s">
        <v>29</v>
      </c>
      <c r="J433" s="2">
        <v>7774.02</v>
      </c>
    </row>
    <row r="434">
      <c r="A434" s="2" t="s">
        <v>1011</v>
      </c>
      <c r="B434" s="2" t="s">
        <v>1012</v>
      </c>
      <c r="C434" s="2" t="s">
        <v>34</v>
      </c>
      <c r="D434" s="2" t="s">
        <v>82</v>
      </c>
      <c r="E434" s="2" t="s">
        <v>94</v>
      </c>
      <c r="F434" s="2" t="s">
        <v>82</v>
      </c>
      <c r="G434" s="6">
        <v>45458.0</v>
      </c>
      <c r="H434" s="2" t="s">
        <v>113</v>
      </c>
      <c r="I434" s="2" t="s">
        <v>67</v>
      </c>
      <c r="J434" s="2">
        <v>22349.88</v>
      </c>
    </row>
    <row r="435">
      <c r="A435" s="2" t="s">
        <v>1013</v>
      </c>
      <c r="B435" s="2" t="s">
        <v>1014</v>
      </c>
      <c r="C435" s="2" t="s">
        <v>22</v>
      </c>
      <c r="D435" s="2" t="s">
        <v>85</v>
      </c>
      <c r="E435" s="2" t="s">
        <v>97</v>
      </c>
      <c r="F435" s="2" t="s">
        <v>111</v>
      </c>
      <c r="G435" s="6">
        <v>45334.0</v>
      </c>
      <c r="H435" s="2" t="s">
        <v>126</v>
      </c>
      <c r="I435" s="2" t="s">
        <v>29</v>
      </c>
      <c r="J435" s="2">
        <v>63488.13</v>
      </c>
    </row>
    <row r="436">
      <c r="A436" s="2" t="s">
        <v>1015</v>
      </c>
      <c r="B436" s="2" t="s">
        <v>719</v>
      </c>
      <c r="C436" s="2" t="s">
        <v>22</v>
      </c>
      <c r="D436" s="2" t="s">
        <v>62</v>
      </c>
      <c r="E436" s="2" t="s">
        <v>63</v>
      </c>
      <c r="F436" s="2" t="s">
        <v>111</v>
      </c>
      <c r="G436" s="6">
        <v>45601.0</v>
      </c>
      <c r="H436" s="2" t="s">
        <v>142</v>
      </c>
      <c r="I436" s="2" t="s">
        <v>39</v>
      </c>
      <c r="J436" s="2">
        <v>8548.04</v>
      </c>
    </row>
    <row r="437">
      <c r="A437" s="2" t="s">
        <v>1016</v>
      </c>
      <c r="B437" s="2" t="s">
        <v>1017</v>
      </c>
      <c r="C437" s="2" t="s">
        <v>34</v>
      </c>
      <c r="D437" s="2" t="s">
        <v>82</v>
      </c>
      <c r="E437" s="2" t="s">
        <v>99</v>
      </c>
      <c r="F437" s="2" t="s">
        <v>82</v>
      </c>
      <c r="G437" s="6">
        <v>45496.0</v>
      </c>
      <c r="H437" s="2" t="s">
        <v>58</v>
      </c>
      <c r="I437" s="2" t="s">
        <v>59</v>
      </c>
      <c r="J437" s="2">
        <v>26847.61</v>
      </c>
    </row>
    <row r="438">
      <c r="A438" s="2" t="s">
        <v>1018</v>
      </c>
      <c r="B438" s="2" t="s">
        <v>1019</v>
      </c>
      <c r="C438" s="2" t="s">
        <v>34</v>
      </c>
      <c r="D438" s="2" t="s">
        <v>31</v>
      </c>
      <c r="E438" s="2" t="s">
        <v>77</v>
      </c>
      <c r="F438" s="2" t="s">
        <v>31</v>
      </c>
      <c r="G438" s="6">
        <v>46121.0</v>
      </c>
      <c r="H438" s="2" t="s">
        <v>66</v>
      </c>
      <c r="I438" s="2" t="s">
        <v>67</v>
      </c>
      <c r="J438" s="2">
        <v>37203.14</v>
      </c>
    </row>
    <row r="439">
      <c r="A439" s="2" t="s">
        <v>1021</v>
      </c>
      <c r="B439" s="2" t="s">
        <v>939</v>
      </c>
      <c r="C439" s="2" t="s">
        <v>34</v>
      </c>
      <c r="D439" s="2" t="s">
        <v>51</v>
      </c>
      <c r="E439" s="2" t="s">
        <v>68</v>
      </c>
      <c r="F439" s="2" t="s">
        <v>51</v>
      </c>
      <c r="G439" s="6">
        <v>45488.0</v>
      </c>
      <c r="H439" s="2" t="s">
        <v>58</v>
      </c>
      <c r="I439" s="2" t="s">
        <v>59</v>
      </c>
      <c r="J439" s="2">
        <v>38681.67</v>
      </c>
    </row>
    <row r="440">
      <c r="A440" s="2" t="s">
        <v>1022</v>
      </c>
      <c r="B440" s="2" t="s">
        <v>1023</v>
      </c>
      <c r="C440" s="2" t="s">
        <v>34</v>
      </c>
      <c r="D440" s="2" t="s">
        <v>82</v>
      </c>
      <c r="E440" s="2" t="s">
        <v>82</v>
      </c>
      <c r="F440" s="2" t="s">
        <v>82</v>
      </c>
      <c r="G440" s="6">
        <v>45645.0</v>
      </c>
      <c r="H440" s="2" t="s">
        <v>38</v>
      </c>
      <c r="I440" s="2" t="s">
        <v>39</v>
      </c>
      <c r="J440" s="2">
        <v>32976.13</v>
      </c>
    </row>
    <row r="441">
      <c r="A441" s="2" t="s">
        <v>1024</v>
      </c>
      <c r="B441" s="2" t="s">
        <v>1025</v>
      </c>
      <c r="C441" s="2" t="s">
        <v>22</v>
      </c>
      <c r="D441" s="2" t="s">
        <v>23</v>
      </c>
      <c r="E441" s="2" t="s">
        <v>111</v>
      </c>
      <c r="F441" s="2" t="s">
        <v>111</v>
      </c>
      <c r="G441" s="6">
        <v>45611.0</v>
      </c>
      <c r="H441" s="2" t="s">
        <v>142</v>
      </c>
      <c r="I441" s="2" t="s">
        <v>39</v>
      </c>
      <c r="J441" s="2">
        <v>137466.01</v>
      </c>
    </row>
    <row r="442">
      <c r="A442" s="2" t="s">
        <v>1026</v>
      </c>
      <c r="B442" s="2" t="s">
        <v>1027</v>
      </c>
      <c r="C442" s="2" t="s">
        <v>34</v>
      </c>
      <c r="D442" s="2" t="s">
        <v>31</v>
      </c>
      <c r="E442" s="2" t="s">
        <v>31</v>
      </c>
      <c r="F442" s="2" t="s">
        <v>31</v>
      </c>
      <c r="G442" s="6">
        <v>45356.0</v>
      </c>
      <c r="H442" s="2" t="s">
        <v>44</v>
      </c>
      <c r="I442" s="2" t="s">
        <v>29</v>
      </c>
      <c r="J442" s="2">
        <v>24890.85</v>
      </c>
    </row>
    <row r="443">
      <c r="A443" s="2" t="s">
        <v>1028</v>
      </c>
      <c r="B443" s="2" t="s">
        <v>128</v>
      </c>
      <c r="C443" s="2" t="s">
        <v>34</v>
      </c>
      <c r="D443" s="2" t="s">
        <v>111</v>
      </c>
      <c r="E443" s="2" t="s">
        <v>24</v>
      </c>
      <c r="F443" s="2" t="s">
        <v>111</v>
      </c>
      <c r="G443" s="6">
        <v>45306.0</v>
      </c>
      <c r="H443" s="2" t="s">
        <v>28</v>
      </c>
      <c r="I443" s="2" t="s">
        <v>29</v>
      </c>
      <c r="J443" s="2">
        <v>-4785.93</v>
      </c>
    </row>
    <row r="444">
      <c r="A444" s="2" t="s">
        <v>1029</v>
      </c>
      <c r="B444" s="2" t="s">
        <v>1030</v>
      </c>
      <c r="C444" s="2" t="s">
        <v>22</v>
      </c>
      <c r="D444" s="2" t="s">
        <v>85</v>
      </c>
      <c r="E444" s="2" t="s">
        <v>24</v>
      </c>
      <c r="F444" s="2" t="s">
        <v>111</v>
      </c>
      <c r="G444" s="6">
        <v>45382.0</v>
      </c>
      <c r="H444" s="2" t="s">
        <v>44</v>
      </c>
      <c r="I444" s="2" t="s">
        <v>29</v>
      </c>
      <c r="J444" s="2">
        <v>25132.28</v>
      </c>
    </row>
    <row r="445">
      <c r="A445" s="2" t="s">
        <v>1031</v>
      </c>
      <c r="B445" s="2" t="s">
        <v>1032</v>
      </c>
      <c r="C445" s="2" t="s">
        <v>34</v>
      </c>
      <c r="D445" s="2" t="s">
        <v>51</v>
      </c>
      <c r="E445" s="2" t="s">
        <v>68</v>
      </c>
      <c r="F445" s="2" t="s">
        <v>51</v>
      </c>
      <c r="G445" s="6">
        <v>45453.0</v>
      </c>
      <c r="H445" s="2" t="s">
        <v>113</v>
      </c>
      <c r="I445" s="2" t="s">
        <v>67</v>
      </c>
      <c r="J445" s="2">
        <v>5572.58</v>
      </c>
    </row>
    <row r="446">
      <c r="A446" s="2" t="s">
        <v>1033</v>
      </c>
      <c r="B446" s="2" t="s">
        <v>520</v>
      </c>
      <c r="C446" s="2" t="s">
        <v>34</v>
      </c>
      <c r="D446" s="2" t="s">
        <v>82</v>
      </c>
      <c r="E446" s="2" t="s">
        <v>82</v>
      </c>
      <c r="F446" s="2" t="s">
        <v>82</v>
      </c>
      <c r="G446" s="6">
        <v>45655.0</v>
      </c>
      <c r="H446" s="2" t="s">
        <v>38</v>
      </c>
      <c r="I446" s="2" t="s">
        <v>39</v>
      </c>
      <c r="J446" s="2">
        <v>17167.63</v>
      </c>
    </row>
    <row r="447">
      <c r="A447" s="2" t="s">
        <v>1034</v>
      </c>
      <c r="B447" s="2" t="s">
        <v>350</v>
      </c>
      <c r="C447" s="2" t="s">
        <v>34</v>
      </c>
      <c r="D447" s="2" t="s">
        <v>51</v>
      </c>
      <c r="E447" s="2" t="s">
        <v>68</v>
      </c>
      <c r="F447" s="2" t="s">
        <v>51</v>
      </c>
      <c r="G447" s="6">
        <v>45407.0</v>
      </c>
      <c r="H447" s="2" t="s">
        <v>66</v>
      </c>
      <c r="I447" s="2" t="s">
        <v>67</v>
      </c>
      <c r="J447" s="2">
        <v>23781.25</v>
      </c>
    </row>
    <row r="448">
      <c r="A448" s="2" t="s">
        <v>1035</v>
      </c>
      <c r="B448" s="2" t="s">
        <v>1036</v>
      </c>
      <c r="C448" s="2" t="s">
        <v>22</v>
      </c>
      <c r="D448" s="2" t="s">
        <v>23</v>
      </c>
      <c r="E448" s="2" t="s">
        <v>24</v>
      </c>
      <c r="F448" s="2" t="s">
        <v>111</v>
      </c>
      <c r="G448" s="6">
        <v>45556.0</v>
      </c>
      <c r="H448" s="2" t="s">
        <v>73</v>
      </c>
      <c r="I448" s="2" t="s">
        <v>59</v>
      </c>
      <c r="J448" s="2">
        <v>497286.26</v>
      </c>
    </row>
    <row r="449">
      <c r="A449" s="2" t="s">
        <v>1037</v>
      </c>
      <c r="B449" s="2" t="s">
        <v>1038</v>
      </c>
      <c r="C449" s="2" t="s">
        <v>34</v>
      </c>
      <c r="D449" s="2" t="s">
        <v>82</v>
      </c>
      <c r="E449" s="2" t="s">
        <v>94</v>
      </c>
      <c r="F449" s="2" t="s">
        <v>82</v>
      </c>
      <c r="G449" s="6">
        <v>45413.0</v>
      </c>
      <c r="H449" s="2" t="s">
        <v>87</v>
      </c>
      <c r="I449" s="2" t="s">
        <v>67</v>
      </c>
      <c r="J449" s="2">
        <v>82156.2</v>
      </c>
    </row>
    <row r="450">
      <c r="A450" s="2" t="s">
        <v>1039</v>
      </c>
      <c r="B450" s="2" t="s">
        <v>1040</v>
      </c>
      <c r="C450" s="2" t="s">
        <v>22</v>
      </c>
      <c r="D450" s="2" t="s">
        <v>85</v>
      </c>
      <c r="E450" s="2" t="s">
        <v>97</v>
      </c>
      <c r="F450" s="2" t="s">
        <v>111</v>
      </c>
      <c r="G450" s="6">
        <v>45695.0</v>
      </c>
      <c r="H450" s="2" t="s">
        <v>126</v>
      </c>
      <c r="I450" s="2" t="s">
        <v>29</v>
      </c>
      <c r="J450" s="2">
        <v>16053.82</v>
      </c>
    </row>
    <row r="451">
      <c r="A451" s="2" t="s">
        <v>1041</v>
      </c>
      <c r="B451" s="2" t="s">
        <v>295</v>
      </c>
      <c r="C451" s="2" t="s">
        <v>34</v>
      </c>
      <c r="D451" s="2" t="s">
        <v>90</v>
      </c>
      <c r="E451" s="2" t="s">
        <v>114</v>
      </c>
      <c r="F451" s="2" t="s">
        <v>90</v>
      </c>
      <c r="G451" s="6">
        <v>45427.0</v>
      </c>
      <c r="H451" s="2" t="s">
        <v>87</v>
      </c>
      <c r="I451" s="2" t="s">
        <v>67</v>
      </c>
      <c r="J451" s="2">
        <v>12723.46</v>
      </c>
    </row>
    <row r="452">
      <c r="A452" s="2" t="s">
        <v>1042</v>
      </c>
      <c r="B452" s="2" t="s">
        <v>1043</v>
      </c>
      <c r="C452" s="2" t="s">
        <v>34</v>
      </c>
      <c r="D452" s="2" t="s">
        <v>111</v>
      </c>
      <c r="E452" s="2" t="s">
        <v>63</v>
      </c>
      <c r="F452" s="2" t="s">
        <v>111</v>
      </c>
      <c r="G452" s="6">
        <v>45423.0</v>
      </c>
      <c r="H452" s="2" t="s">
        <v>87</v>
      </c>
      <c r="I452" s="2" t="s">
        <v>67</v>
      </c>
      <c r="J452" s="2">
        <v>23957.92</v>
      </c>
    </row>
    <row r="453">
      <c r="A453" s="2" t="s">
        <v>1044</v>
      </c>
      <c r="B453" s="2" t="s">
        <v>1045</v>
      </c>
      <c r="C453" s="2" t="s">
        <v>22</v>
      </c>
      <c r="D453" s="2" t="s">
        <v>85</v>
      </c>
      <c r="E453" s="2" t="s">
        <v>63</v>
      </c>
      <c r="F453" s="2" t="s">
        <v>111</v>
      </c>
      <c r="G453" s="6">
        <v>45934.0</v>
      </c>
      <c r="H453" s="2" t="s">
        <v>49</v>
      </c>
      <c r="I453" s="2" t="s">
        <v>39</v>
      </c>
      <c r="J453" s="2">
        <v>15008.87</v>
      </c>
    </row>
    <row r="454">
      <c r="A454" s="2" t="s">
        <v>1046</v>
      </c>
      <c r="B454" s="2" t="s">
        <v>1047</v>
      </c>
      <c r="C454" s="2" t="s">
        <v>34</v>
      </c>
      <c r="D454" s="2" t="s">
        <v>54</v>
      </c>
      <c r="E454" s="2" t="s">
        <v>124</v>
      </c>
      <c r="F454" s="2" t="s">
        <v>54</v>
      </c>
      <c r="G454" s="6">
        <v>45549.0</v>
      </c>
      <c r="H454" s="2" t="s">
        <v>73</v>
      </c>
      <c r="I454" s="2" t="s">
        <v>59</v>
      </c>
      <c r="J454" s="2">
        <v>21200.87</v>
      </c>
    </row>
    <row r="455">
      <c r="A455" s="2" t="s">
        <v>1048</v>
      </c>
      <c r="B455" s="2" t="s">
        <v>1049</v>
      </c>
      <c r="C455" s="2" t="s">
        <v>34</v>
      </c>
      <c r="D455" s="2" t="s">
        <v>90</v>
      </c>
      <c r="E455" s="2" t="s">
        <v>104</v>
      </c>
      <c r="F455" s="2" t="s">
        <v>90</v>
      </c>
      <c r="G455" s="6">
        <v>46123.0</v>
      </c>
      <c r="H455" s="2" t="s">
        <v>66</v>
      </c>
      <c r="I455" s="2" t="s">
        <v>67</v>
      </c>
      <c r="J455" s="2">
        <v>10315.44</v>
      </c>
    </row>
    <row r="456">
      <c r="A456" s="2" t="s">
        <v>1050</v>
      </c>
      <c r="B456" s="2" t="s">
        <v>1051</v>
      </c>
      <c r="C456" s="2" t="s">
        <v>34</v>
      </c>
      <c r="D456" s="2" t="s">
        <v>31</v>
      </c>
      <c r="E456" s="2" t="s">
        <v>145</v>
      </c>
      <c r="F456" s="2" t="s">
        <v>31</v>
      </c>
      <c r="G456" s="6">
        <v>45348.0</v>
      </c>
      <c r="H456" s="2" t="s">
        <v>126</v>
      </c>
      <c r="I456" s="2" t="s">
        <v>29</v>
      </c>
      <c r="J456" s="2">
        <v>-10775.08</v>
      </c>
    </row>
    <row r="457">
      <c r="A457" s="2" t="s">
        <v>1053</v>
      </c>
      <c r="B457" s="2" t="s">
        <v>1054</v>
      </c>
      <c r="C457" s="2" t="s">
        <v>34</v>
      </c>
      <c r="D457" s="2" t="s">
        <v>54</v>
      </c>
      <c r="E457" s="2" t="s">
        <v>124</v>
      </c>
      <c r="F457" s="2" t="s">
        <v>54</v>
      </c>
      <c r="G457" s="6">
        <v>45700.0</v>
      </c>
      <c r="H457" s="2" t="s">
        <v>126</v>
      </c>
      <c r="I457" s="2" t="s">
        <v>29</v>
      </c>
      <c r="J457" s="2">
        <v>27988.84</v>
      </c>
    </row>
    <row r="458">
      <c r="A458" s="2" t="s">
        <v>1055</v>
      </c>
      <c r="B458" s="2" t="s">
        <v>1056</v>
      </c>
      <c r="C458" s="2" t="s">
        <v>22</v>
      </c>
      <c r="D458" s="2" t="s">
        <v>23</v>
      </c>
      <c r="E458" s="2" t="s">
        <v>111</v>
      </c>
      <c r="F458" s="2" t="s">
        <v>111</v>
      </c>
      <c r="G458" s="6">
        <v>45600.0</v>
      </c>
      <c r="H458" s="2" t="s">
        <v>142</v>
      </c>
      <c r="I458" s="2" t="s">
        <v>39</v>
      </c>
      <c r="J458" s="2">
        <v>201136.08</v>
      </c>
    </row>
    <row r="459">
      <c r="A459" s="2" t="s">
        <v>1057</v>
      </c>
      <c r="B459" s="2" t="s">
        <v>843</v>
      </c>
      <c r="C459" s="2" t="s">
        <v>34</v>
      </c>
      <c r="D459" s="2" t="s">
        <v>90</v>
      </c>
      <c r="E459" s="2" t="s">
        <v>114</v>
      </c>
      <c r="F459" s="2" t="s">
        <v>90</v>
      </c>
      <c r="G459" s="6">
        <v>45571.0</v>
      </c>
      <c r="H459" s="2" t="s">
        <v>49</v>
      </c>
      <c r="I459" s="2" t="s">
        <v>39</v>
      </c>
      <c r="J459" s="2">
        <v>36677.71</v>
      </c>
    </row>
    <row r="460">
      <c r="A460" s="2" t="s">
        <v>1058</v>
      </c>
      <c r="B460" s="2" t="s">
        <v>1059</v>
      </c>
      <c r="C460" s="2" t="s">
        <v>34</v>
      </c>
      <c r="D460" s="2" t="s">
        <v>90</v>
      </c>
      <c r="E460" s="2" t="s">
        <v>90</v>
      </c>
      <c r="F460" s="2" t="s">
        <v>90</v>
      </c>
      <c r="G460" s="6">
        <v>45368.0</v>
      </c>
      <c r="H460" s="2" t="s">
        <v>44</v>
      </c>
      <c r="I460" s="2" t="s">
        <v>29</v>
      </c>
      <c r="J460" s="2">
        <v>9309.53</v>
      </c>
    </row>
    <row r="461">
      <c r="A461" s="2" t="s">
        <v>1060</v>
      </c>
      <c r="B461" s="2" t="s">
        <v>851</v>
      </c>
      <c r="C461" s="2" t="s">
        <v>34</v>
      </c>
      <c r="D461" s="2" t="s">
        <v>111</v>
      </c>
      <c r="E461" s="2" t="s">
        <v>97</v>
      </c>
      <c r="F461" s="2" t="s">
        <v>111</v>
      </c>
      <c r="G461" s="6">
        <v>46143.0</v>
      </c>
      <c r="H461" s="2" t="s">
        <v>87</v>
      </c>
      <c r="I461" s="2" t="s">
        <v>67</v>
      </c>
      <c r="J461" s="2">
        <v>16705.49</v>
      </c>
    </row>
    <row r="462">
      <c r="A462" s="2" t="s">
        <v>1061</v>
      </c>
      <c r="B462" s="2" t="s">
        <v>770</v>
      </c>
      <c r="C462" s="2" t="s">
        <v>489</v>
      </c>
      <c r="D462" s="2" t="s">
        <v>62</v>
      </c>
      <c r="E462" s="2" t="s">
        <v>97</v>
      </c>
      <c r="F462" s="2" t="s">
        <v>111</v>
      </c>
      <c r="G462" s="6">
        <v>45512.0</v>
      </c>
      <c r="H462" s="2" t="s">
        <v>108</v>
      </c>
      <c r="I462" s="2" t="s">
        <v>59</v>
      </c>
      <c r="J462" s="2">
        <v>-6030.69</v>
      </c>
    </row>
    <row r="463">
      <c r="A463" s="2" t="s">
        <v>1063</v>
      </c>
      <c r="B463" s="2" t="s">
        <v>144</v>
      </c>
      <c r="C463" s="2" t="s">
        <v>22</v>
      </c>
      <c r="D463" s="2" t="s">
        <v>62</v>
      </c>
      <c r="E463" s="2" t="s">
        <v>63</v>
      </c>
      <c r="F463" s="2" t="s">
        <v>111</v>
      </c>
      <c r="G463" s="6">
        <v>45970.0</v>
      </c>
      <c r="H463" s="2" t="s">
        <v>142</v>
      </c>
      <c r="I463" s="2" t="s">
        <v>39</v>
      </c>
      <c r="J463" s="2">
        <v>7157.79</v>
      </c>
    </row>
    <row r="464">
      <c r="A464" s="2" t="s">
        <v>1064</v>
      </c>
      <c r="B464" s="2" t="s">
        <v>1065</v>
      </c>
      <c r="C464" s="2" t="s">
        <v>34</v>
      </c>
      <c r="D464" s="2" t="s">
        <v>111</v>
      </c>
      <c r="E464" s="2" t="s">
        <v>111</v>
      </c>
      <c r="F464" s="2" t="s">
        <v>111</v>
      </c>
      <c r="G464" s="6">
        <v>45725.0</v>
      </c>
      <c r="H464" s="2" t="s">
        <v>44</v>
      </c>
      <c r="I464" s="2" t="s">
        <v>29</v>
      </c>
      <c r="J464" s="2">
        <v>15576.89</v>
      </c>
    </row>
    <row r="465">
      <c r="A465" s="2" t="s">
        <v>1066</v>
      </c>
      <c r="B465" s="2" t="s">
        <v>311</v>
      </c>
      <c r="C465" s="2" t="s">
        <v>34</v>
      </c>
      <c r="D465" s="2" t="s">
        <v>51</v>
      </c>
      <c r="E465" s="2" t="s">
        <v>68</v>
      </c>
      <c r="F465" s="2" t="s">
        <v>51</v>
      </c>
      <c r="G465" s="6">
        <v>45580.0</v>
      </c>
      <c r="H465" s="2" t="s">
        <v>49</v>
      </c>
      <c r="I465" s="2" t="s">
        <v>39</v>
      </c>
      <c r="J465" s="2">
        <v>16453.87</v>
      </c>
    </row>
    <row r="466">
      <c r="A466" s="2" t="s">
        <v>1067</v>
      </c>
      <c r="B466" s="2" t="s">
        <v>1068</v>
      </c>
      <c r="C466" s="2" t="s">
        <v>34</v>
      </c>
      <c r="D466" s="2" t="s">
        <v>90</v>
      </c>
      <c r="E466" s="2" t="s">
        <v>104</v>
      </c>
      <c r="F466" s="2" t="s">
        <v>90</v>
      </c>
      <c r="G466" s="6">
        <v>45408.0</v>
      </c>
      <c r="H466" s="2" t="s">
        <v>66</v>
      </c>
      <c r="I466" s="2" t="s">
        <v>67</v>
      </c>
      <c r="J466" s="2">
        <v>9252.8</v>
      </c>
    </row>
    <row r="467">
      <c r="A467" s="2" t="s">
        <v>1069</v>
      </c>
      <c r="B467" s="2" t="s">
        <v>1070</v>
      </c>
      <c r="C467" s="2" t="s">
        <v>22</v>
      </c>
      <c r="D467" s="2" t="s">
        <v>85</v>
      </c>
      <c r="E467" s="2" t="s">
        <v>97</v>
      </c>
      <c r="F467" s="2" t="s">
        <v>111</v>
      </c>
      <c r="G467" s="6">
        <v>45543.0</v>
      </c>
      <c r="H467" s="2" t="s">
        <v>73</v>
      </c>
      <c r="I467" s="2" t="s">
        <v>59</v>
      </c>
      <c r="J467" s="2">
        <v>25402.24</v>
      </c>
    </row>
    <row r="468">
      <c r="A468" s="2" t="s">
        <v>1071</v>
      </c>
      <c r="B468" s="2" t="s">
        <v>584</v>
      </c>
      <c r="C468" s="2" t="s">
        <v>34</v>
      </c>
      <c r="D468" s="2" t="s">
        <v>82</v>
      </c>
      <c r="E468" s="2" t="s">
        <v>82</v>
      </c>
      <c r="F468" s="2" t="s">
        <v>82</v>
      </c>
      <c r="G468" s="6">
        <v>45591.0</v>
      </c>
      <c r="H468" s="2" t="s">
        <v>49</v>
      </c>
      <c r="I468" s="2" t="s">
        <v>39</v>
      </c>
      <c r="J468" s="2">
        <v>34135.96</v>
      </c>
    </row>
    <row r="469">
      <c r="A469" s="2" t="s">
        <v>1072</v>
      </c>
      <c r="B469" s="2" t="s">
        <v>1073</v>
      </c>
      <c r="C469" s="2" t="s">
        <v>22</v>
      </c>
      <c r="D469" s="2" t="s">
        <v>23</v>
      </c>
      <c r="E469" s="2" t="s">
        <v>24</v>
      </c>
      <c r="F469" s="2" t="s">
        <v>111</v>
      </c>
      <c r="G469" s="6">
        <v>45964.0</v>
      </c>
      <c r="H469" s="2" t="s">
        <v>142</v>
      </c>
      <c r="I469" s="2" t="s">
        <v>39</v>
      </c>
      <c r="J469" s="2">
        <v>126901.17</v>
      </c>
    </row>
    <row r="470">
      <c r="A470" s="2" t="s">
        <v>1074</v>
      </c>
      <c r="B470" s="2" t="s">
        <v>1075</v>
      </c>
      <c r="C470" s="2" t="s">
        <v>22</v>
      </c>
      <c r="D470" s="2" t="s">
        <v>85</v>
      </c>
      <c r="E470" s="2" t="s">
        <v>111</v>
      </c>
      <c r="F470" s="2" t="s">
        <v>111</v>
      </c>
      <c r="G470" s="6">
        <v>45323.0</v>
      </c>
      <c r="H470" s="2" t="s">
        <v>126</v>
      </c>
      <c r="I470" s="2" t="s">
        <v>29</v>
      </c>
      <c r="J470" s="2">
        <v>11089.07</v>
      </c>
    </row>
    <row r="471">
      <c r="A471" s="2" t="s">
        <v>1076</v>
      </c>
      <c r="B471" s="2" t="s">
        <v>1077</v>
      </c>
      <c r="C471" s="2" t="s">
        <v>22</v>
      </c>
      <c r="D471" s="2" t="s">
        <v>23</v>
      </c>
      <c r="E471" s="2" t="s">
        <v>97</v>
      </c>
      <c r="F471" s="2" t="s">
        <v>111</v>
      </c>
      <c r="G471" s="6">
        <v>45638.0</v>
      </c>
      <c r="H471" s="2" t="s">
        <v>38</v>
      </c>
      <c r="I471" s="2" t="s">
        <v>39</v>
      </c>
      <c r="J471" s="2">
        <v>426544.55</v>
      </c>
    </row>
    <row r="472">
      <c r="A472" s="2" t="s">
        <v>1078</v>
      </c>
      <c r="B472" s="2" t="s">
        <v>1079</v>
      </c>
      <c r="C472" s="2" t="s">
        <v>22</v>
      </c>
      <c r="D472" s="2" t="s">
        <v>23</v>
      </c>
      <c r="E472" s="2" t="s">
        <v>97</v>
      </c>
      <c r="F472" s="2" t="s">
        <v>111</v>
      </c>
      <c r="G472" s="6">
        <v>45620.0</v>
      </c>
      <c r="H472" s="2" t="s">
        <v>142</v>
      </c>
      <c r="I472" s="2" t="s">
        <v>39</v>
      </c>
      <c r="J472" s="2">
        <v>178611.82</v>
      </c>
    </row>
    <row r="473">
      <c r="A473" s="2" t="s">
        <v>1080</v>
      </c>
      <c r="B473" s="2" t="s">
        <v>1081</v>
      </c>
      <c r="C473" s="2" t="s">
        <v>22</v>
      </c>
      <c r="D473" s="2" t="s">
        <v>62</v>
      </c>
      <c r="E473" s="2" t="s">
        <v>63</v>
      </c>
      <c r="F473" s="2" t="s">
        <v>111</v>
      </c>
      <c r="G473" s="6">
        <v>45391.0</v>
      </c>
      <c r="H473" s="2" t="s">
        <v>66</v>
      </c>
      <c r="I473" s="2" t="s">
        <v>67</v>
      </c>
      <c r="J473" s="2">
        <v>9902.32</v>
      </c>
    </row>
    <row r="474">
      <c r="A474" s="2" t="s">
        <v>1082</v>
      </c>
      <c r="B474" s="2" t="s">
        <v>1083</v>
      </c>
      <c r="C474" s="2" t="s">
        <v>34</v>
      </c>
      <c r="D474" s="2" t="s">
        <v>51</v>
      </c>
      <c r="E474" s="2" t="s">
        <v>50</v>
      </c>
      <c r="F474" s="2" t="s">
        <v>51</v>
      </c>
      <c r="G474" s="6">
        <v>45455.0</v>
      </c>
      <c r="H474" s="2" t="s">
        <v>113</v>
      </c>
      <c r="I474" s="2" t="s">
        <v>67</v>
      </c>
      <c r="J474" s="2">
        <v>16371.3</v>
      </c>
    </row>
    <row r="475">
      <c r="A475" s="2" t="s">
        <v>1085</v>
      </c>
      <c r="B475" s="2" t="s">
        <v>975</v>
      </c>
      <c r="C475" s="2" t="s">
        <v>34</v>
      </c>
      <c r="D475" s="2" t="s">
        <v>90</v>
      </c>
      <c r="E475" s="2" t="s">
        <v>91</v>
      </c>
      <c r="F475" s="2" t="s">
        <v>90</v>
      </c>
      <c r="G475" s="6">
        <v>45386.0</v>
      </c>
      <c r="H475" s="2" t="s">
        <v>66</v>
      </c>
      <c r="I475" s="2" t="s">
        <v>67</v>
      </c>
      <c r="J475" s="2">
        <v>23763.65</v>
      </c>
    </row>
    <row r="476">
      <c r="A476" s="2" t="s">
        <v>1086</v>
      </c>
      <c r="B476" s="2" t="s">
        <v>1087</v>
      </c>
      <c r="C476" s="2" t="s">
        <v>34</v>
      </c>
      <c r="D476" s="2" t="s">
        <v>111</v>
      </c>
      <c r="E476" s="2" t="s">
        <v>24</v>
      </c>
      <c r="F476" s="2" t="s">
        <v>111</v>
      </c>
      <c r="G476" s="6">
        <v>45647.0</v>
      </c>
      <c r="H476" s="2" t="s">
        <v>38</v>
      </c>
      <c r="I476" s="2" t="s">
        <v>39</v>
      </c>
      <c r="J476" s="2">
        <v>15115.3</v>
      </c>
    </row>
    <row r="477">
      <c r="A477" s="2" t="s">
        <v>1088</v>
      </c>
      <c r="B477" s="2" t="s">
        <v>599</v>
      </c>
      <c r="C477" s="2" t="s">
        <v>34</v>
      </c>
      <c r="D477" s="2" t="s">
        <v>51</v>
      </c>
      <c r="E477" s="2" t="s">
        <v>50</v>
      </c>
      <c r="F477" s="2" t="s">
        <v>51</v>
      </c>
      <c r="G477" s="6">
        <v>46084.0</v>
      </c>
      <c r="H477" s="2" t="s">
        <v>44</v>
      </c>
      <c r="I477" s="2" t="s">
        <v>29</v>
      </c>
      <c r="J477" s="2">
        <v>18877.07</v>
      </c>
    </row>
    <row r="478">
      <c r="A478" s="2" t="s">
        <v>1090</v>
      </c>
      <c r="B478" s="2" t="s">
        <v>1091</v>
      </c>
      <c r="C478" s="2" t="s">
        <v>22</v>
      </c>
      <c r="D478" s="2" t="s">
        <v>62</v>
      </c>
      <c r="E478" s="2" t="s">
        <v>97</v>
      </c>
      <c r="F478" s="2" t="s">
        <v>111</v>
      </c>
      <c r="G478" s="6">
        <v>45652.0</v>
      </c>
      <c r="H478" s="2" t="s">
        <v>38</v>
      </c>
      <c r="I478" s="2" t="s">
        <v>39</v>
      </c>
      <c r="J478" s="2">
        <v>8100.32</v>
      </c>
    </row>
    <row r="479">
      <c r="A479" s="2" t="s">
        <v>1092</v>
      </c>
      <c r="B479" s="2" t="s">
        <v>1093</v>
      </c>
      <c r="C479" s="2" t="s">
        <v>34</v>
      </c>
      <c r="D479" s="2" t="s">
        <v>111</v>
      </c>
      <c r="E479" s="2" t="s">
        <v>97</v>
      </c>
      <c r="F479" s="2" t="s">
        <v>111</v>
      </c>
      <c r="G479" s="6">
        <v>45439.0</v>
      </c>
      <c r="H479" s="2" t="s">
        <v>87</v>
      </c>
      <c r="I479" s="2" t="s">
        <v>67</v>
      </c>
      <c r="J479" s="2">
        <v>26617.95</v>
      </c>
    </row>
    <row r="480">
      <c r="A480" s="2" t="s">
        <v>1094</v>
      </c>
      <c r="B480" s="2" t="s">
        <v>1095</v>
      </c>
      <c r="C480" s="2" t="s">
        <v>34</v>
      </c>
      <c r="D480" s="2" t="s">
        <v>54</v>
      </c>
      <c r="E480" s="2" t="s">
        <v>196</v>
      </c>
      <c r="F480" s="2" t="s">
        <v>54</v>
      </c>
      <c r="G480" s="6">
        <v>45485.0</v>
      </c>
      <c r="H480" s="2" t="s">
        <v>58</v>
      </c>
      <c r="I480" s="2" t="s">
        <v>59</v>
      </c>
      <c r="J480" s="2">
        <v>49553.05</v>
      </c>
    </row>
    <row r="481">
      <c r="A481" s="2" t="s">
        <v>1096</v>
      </c>
      <c r="B481" s="2" t="s">
        <v>1097</v>
      </c>
      <c r="C481" s="2" t="s">
        <v>34</v>
      </c>
      <c r="D481" s="2" t="s">
        <v>54</v>
      </c>
      <c r="E481" s="2" t="s">
        <v>124</v>
      </c>
      <c r="F481" s="2" t="s">
        <v>54</v>
      </c>
      <c r="G481" s="6">
        <v>46114.0</v>
      </c>
      <c r="H481" s="2" t="s">
        <v>66</v>
      </c>
      <c r="I481" s="2" t="s">
        <v>67</v>
      </c>
      <c r="J481" s="2">
        <v>38970.34</v>
      </c>
    </row>
    <row r="482">
      <c r="A482" s="2" t="s">
        <v>1099</v>
      </c>
      <c r="B482" s="2" t="s">
        <v>1100</v>
      </c>
      <c r="C482" s="2" t="s">
        <v>22</v>
      </c>
      <c r="D482" s="2" t="s">
        <v>23</v>
      </c>
      <c r="E482" s="2" t="s">
        <v>111</v>
      </c>
      <c r="F482" s="2" t="s">
        <v>111</v>
      </c>
      <c r="G482" s="6">
        <v>45471.0</v>
      </c>
      <c r="H482" s="2" t="s">
        <v>113</v>
      </c>
      <c r="I482" s="2" t="s">
        <v>67</v>
      </c>
      <c r="J482" s="2">
        <v>492234.64</v>
      </c>
    </row>
    <row r="483">
      <c r="A483" s="2" t="s">
        <v>1101</v>
      </c>
      <c r="B483" s="2" t="s">
        <v>1102</v>
      </c>
      <c r="C483" s="2" t="s">
        <v>34</v>
      </c>
      <c r="D483" s="2" t="s">
        <v>31</v>
      </c>
      <c r="E483" s="2" t="s">
        <v>35</v>
      </c>
      <c r="F483" s="2" t="s">
        <v>31</v>
      </c>
      <c r="G483" s="6">
        <v>45403.0</v>
      </c>
      <c r="H483" s="2" t="s">
        <v>66</v>
      </c>
      <c r="I483" s="2" t="s">
        <v>67</v>
      </c>
      <c r="J483" s="2">
        <v>24259.65</v>
      </c>
    </row>
    <row r="484">
      <c r="A484" s="2" t="s">
        <v>1103</v>
      </c>
      <c r="B484" s="2" t="s">
        <v>332</v>
      </c>
      <c r="C484" s="2" t="s">
        <v>34</v>
      </c>
      <c r="D484" s="2" t="s">
        <v>51</v>
      </c>
      <c r="E484" s="2" t="s">
        <v>51</v>
      </c>
      <c r="F484" s="2" t="s">
        <v>51</v>
      </c>
      <c r="G484" s="6">
        <v>45458.0</v>
      </c>
      <c r="H484" s="2" t="s">
        <v>113</v>
      </c>
      <c r="I484" s="2" t="s">
        <v>67</v>
      </c>
      <c r="J484" s="2">
        <v>12779.13</v>
      </c>
    </row>
    <row r="485">
      <c r="A485" s="2" t="s">
        <v>1104</v>
      </c>
      <c r="B485" s="2" t="s">
        <v>332</v>
      </c>
      <c r="C485" s="2" t="s">
        <v>34</v>
      </c>
      <c r="D485" s="2" t="s">
        <v>54</v>
      </c>
      <c r="E485" s="2" t="s">
        <v>124</v>
      </c>
      <c r="F485" s="2" t="s">
        <v>54</v>
      </c>
      <c r="G485" s="6">
        <v>45458.0</v>
      </c>
      <c r="H485" s="2" t="s">
        <v>113</v>
      </c>
      <c r="I485" s="2" t="s">
        <v>67</v>
      </c>
      <c r="J485" s="2">
        <v>44149.16</v>
      </c>
    </row>
    <row r="486">
      <c r="A486" s="2" t="s">
        <v>1105</v>
      </c>
      <c r="B486" s="2" t="s">
        <v>101</v>
      </c>
      <c r="C486" s="2" t="s">
        <v>22</v>
      </c>
      <c r="D486" s="2" t="s">
        <v>85</v>
      </c>
      <c r="E486" s="2" t="s">
        <v>97</v>
      </c>
      <c r="F486" s="2" t="s">
        <v>111</v>
      </c>
      <c r="G486" s="6">
        <v>45366.0</v>
      </c>
      <c r="H486" s="2" t="s">
        <v>44</v>
      </c>
      <c r="I486" s="2" t="s">
        <v>29</v>
      </c>
      <c r="J486" s="2">
        <v>24024.83</v>
      </c>
    </row>
    <row r="487">
      <c r="A487" s="2" t="s">
        <v>1106</v>
      </c>
      <c r="B487" s="2" t="s">
        <v>659</v>
      </c>
      <c r="C487" s="2" t="s">
        <v>34</v>
      </c>
      <c r="D487" s="2" t="s">
        <v>111</v>
      </c>
      <c r="E487" s="2" t="s">
        <v>24</v>
      </c>
      <c r="F487" s="2" t="s">
        <v>111</v>
      </c>
      <c r="G487" s="6">
        <v>45328.0</v>
      </c>
      <c r="H487" s="2" t="s">
        <v>126</v>
      </c>
      <c r="I487" s="2" t="s">
        <v>29</v>
      </c>
      <c r="J487" s="2">
        <v>9567.37</v>
      </c>
    </row>
    <row r="488">
      <c r="A488" s="2" t="s">
        <v>1107</v>
      </c>
      <c r="B488" s="2" t="s">
        <v>1108</v>
      </c>
      <c r="C488" s="2" t="s">
        <v>22</v>
      </c>
      <c r="D488" s="2" t="s">
        <v>23</v>
      </c>
      <c r="E488" s="2" t="s">
        <v>63</v>
      </c>
      <c r="F488" s="2" t="s">
        <v>111</v>
      </c>
      <c r="G488" s="6">
        <v>45367.0</v>
      </c>
      <c r="H488" s="2" t="s">
        <v>44</v>
      </c>
      <c r="I488" s="2" t="s">
        <v>29</v>
      </c>
      <c r="J488" s="2">
        <v>192217.56</v>
      </c>
    </row>
    <row r="489">
      <c r="A489" s="2" t="s">
        <v>1109</v>
      </c>
      <c r="B489" s="2" t="s">
        <v>1110</v>
      </c>
      <c r="C489" s="2" t="s">
        <v>34</v>
      </c>
      <c r="D489" s="2" t="s">
        <v>111</v>
      </c>
      <c r="E489" s="2" t="s">
        <v>111</v>
      </c>
      <c r="F489" s="2" t="s">
        <v>111</v>
      </c>
      <c r="G489" s="6">
        <v>45336.0</v>
      </c>
      <c r="H489" s="2" t="s">
        <v>126</v>
      </c>
      <c r="I489" s="2" t="s">
        <v>29</v>
      </c>
      <c r="J489" s="2">
        <v>24151.27</v>
      </c>
    </row>
    <row r="490">
      <c r="A490" s="2" t="s">
        <v>1111</v>
      </c>
      <c r="B490" s="2" t="s">
        <v>1112</v>
      </c>
      <c r="C490" s="2" t="s">
        <v>22</v>
      </c>
      <c r="D490" s="2" t="s">
        <v>23</v>
      </c>
      <c r="E490" s="2" t="s">
        <v>63</v>
      </c>
      <c r="F490" s="2" t="s">
        <v>111</v>
      </c>
      <c r="G490" s="6">
        <v>45518.0</v>
      </c>
      <c r="H490" s="2" t="s">
        <v>108</v>
      </c>
      <c r="I490" s="2" t="s">
        <v>59</v>
      </c>
      <c r="J490" s="2">
        <v>207904.87</v>
      </c>
    </row>
    <row r="491">
      <c r="A491" s="2" t="s">
        <v>1113</v>
      </c>
      <c r="B491" s="2" t="s">
        <v>1114</v>
      </c>
      <c r="C491" s="2" t="s">
        <v>22</v>
      </c>
      <c r="D491" s="2" t="s">
        <v>23</v>
      </c>
      <c r="E491" s="2" t="s">
        <v>111</v>
      </c>
      <c r="F491" s="2" t="s">
        <v>111</v>
      </c>
      <c r="G491" s="6">
        <v>45567.0</v>
      </c>
      <c r="H491" s="2" t="s">
        <v>49</v>
      </c>
      <c r="I491" s="2" t="s">
        <v>39</v>
      </c>
      <c r="J491" s="2">
        <v>130345.27</v>
      </c>
    </row>
    <row r="492">
      <c r="A492" s="2" t="s">
        <v>1115</v>
      </c>
      <c r="B492" s="2" t="s">
        <v>311</v>
      </c>
      <c r="C492" s="2" t="s">
        <v>22</v>
      </c>
      <c r="D492" s="2" t="s">
        <v>85</v>
      </c>
      <c r="E492" s="2" t="s">
        <v>63</v>
      </c>
      <c r="F492" s="2" t="s">
        <v>111</v>
      </c>
      <c r="G492" s="6">
        <v>45580.0</v>
      </c>
      <c r="H492" s="2" t="s">
        <v>49</v>
      </c>
      <c r="I492" s="2" t="s">
        <v>39</v>
      </c>
      <c r="J492" s="2">
        <v>21777.8</v>
      </c>
    </row>
    <row r="493">
      <c r="A493" s="2" t="s">
        <v>1116</v>
      </c>
      <c r="B493" s="2" t="s">
        <v>1117</v>
      </c>
      <c r="C493" s="2" t="s">
        <v>34</v>
      </c>
      <c r="D493" s="2" t="s">
        <v>90</v>
      </c>
      <c r="E493" s="2" t="s">
        <v>114</v>
      </c>
      <c r="F493" s="2" t="s">
        <v>90</v>
      </c>
      <c r="G493" s="6">
        <v>45325.0</v>
      </c>
      <c r="H493" s="2" t="s">
        <v>126</v>
      </c>
      <c r="I493" s="2" t="s">
        <v>29</v>
      </c>
      <c r="J493" s="2">
        <v>7136.24</v>
      </c>
    </row>
    <row r="494">
      <c r="A494" s="2" t="s">
        <v>1118</v>
      </c>
      <c r="B494" s="2" t="s">
        <v>1119</v>
      </c>
      <c r="C494" s="2" t="s">
        <v>34</v>
      </c>
      <c r="D494" s="2" t="s">
        <v>82</v>
      </c>
      <c r="E494" s="2" t="s">
        <v>99</v>
      </c>
      <c r="F494" s="2" t="s">
        <v>82</v>
      </c>
      <c r="G494" s="6">
        <v>45368.0</v>
      </c>
      <c r="H494" s="2" t="s">
        <v>44</v>
      </c>
      <c r="I494" s="2" t="s">
        <v>29</v>
      </c>
      <c r="J494" s="2">
        <v>83834.87</v>
      </c>
    </row>
    <row r="495">
      <c r="A495" s="2" t="s">
        <v>1120</v>
      </c>
      <c r="B495" s="2" t="s">
        <v>997</v>
      </c>
      <c r="C495" s="2" t="s">
        <v>22</v>
      </c>
      <c r="D495" s="2" t="s">
        <v>85</v>
      </c>
      <c r="E495" s="2" t="s">
        <v>111</v>
      </c>
      <c r="F495" s="2" t="s">
        <v>111</v>
      </c>
      <c r="G495" s="6">
        <v>45629.0</v>
      </c>
      <c r="H495" s="2" t="s">
        <v>38</v>
      </c>
      <c r="I495" s="2" t="s">
        <v>39</v>
      </c>
      <c r="J495" s="2">
        <v>12318.99</v>
      </c>
    </row>
    <row r="496">
      <c r="A496" s="2" t="s">
        <v>1121</v>
      </c>
      <c r="B496" s="2" t="s">
        <v>1122</v>
      </c>
      <c r="C496" s="2" t="s">
        <v>34</v>
      </c>
      <c r="D496" s="2" t="s">
        <v>31</v>
      </c>
      <c r="E496" s="2" t="s">
        <v>145</v>
      </c>
      <c r="F496" s="2" t="s">
        <v>31</v>
      </c>
      <c r="G496" s="6">
        <v>45307.0</v>
      </c>
      <c r="H496" s="2" t="s">
        <v>28</v>
      </c>
      <c r="I496" s="2" t="s">
        <v>29</v>
      </c>
      <c r="J496" s="2">
        <v>17690.91</v>
      </c>
    </row>
    <row r="497">
      <c r="A497" s="2" t="s">
        <v>1123</v>
      </c>
      <c r="B497" s="2" t="s">
        <v>674</v>
      </c>
      <c r="C497" s="2" t="s">
        <v>22</v>
      </c>
      <c r="D497" s="2" t="s">
        <v>23</v>
      </c>
      <c r="E497" s="2" t="s">
        <v>24</v>
      </c>
      <c r="F497" s="2" t="s">
        <v>111</v>
      </c>
      <c r="G497" s="6">
        <v>45405.0</v>
      </c>
      <c r="H497" s="2" t="s">
        <v>66</v>
      </c>
      <c r="I497" s="2" t="s">
        <v>67</v>
      </c>
      <c r="J497" s="2">
        <v>87069.96</v>
      </c>
    </row>
    <row r="498">
      <c r="A498" s="2" t="s">
        <v>1124</v>
      </c>
      <c r="B498" s="2" t="s">
        <v>1125</v>
      </c>
      <c r="C498" s="2" t="s">
        <v>34</v>
      </c>
      <c r="D498" s="2" t="s">
        <v>54</v>
      </c>
      <c r="E498" s="2" t="s">
        <v>130</v>
      </c>
      <c r="F498" s="2" t="s">
        <v>54</v>
      </c>
      <c r="G498" s="6">
        <v>45409.0</v>
      </c>
      <c r="H498" s="2" t="s">
        <v>66</v>
      </c>
      <c r="I498" s="2" t="s">
        <v>67</v>
      </c>
      <c r="J498" s="2">
        <v>33681.55</v>
      </c>
    </row>
    <row r="499">
      <c r="A499" s="2" t="s">
        <v>1126</v>
      </c>
      <c r="B499" s="2" t="s">
        <v>686</v>
      </c>
      <c r="C499" s="2" t="s">
        <v>34</v>
      </c>
      <c r="D499" s="2" t="s">
        <v>54</v>
      </c>
      <c r="E499" s="2" t="s">
        <v>130</v>
      </c>
      <c r="F499" s="2" t="s">
        <v>54</v>
      </c>
      <c r="G499" s="6">
        <v>45906.0</v>
      </c>
      <c r="H499" s="2" t="s">
        <v>73</v>
      </c>
      <c r="I499" s="2" t="s">
        <v>59</v>
      </c>
      <c r="J499" s="2">
        <v>44052.32</v>
      </c>
    </row>
    <row r="500">
      <c r="A500" s="2" t="s">
        <v>1127</v>
      </c>
      <c r="B500" s="2" t="s">
        <v>1128</v>
      </c>
      <c r="C500" s="2" t="s">
        <v>22</v>
      </c>
      <c r="D500" s="2" t="s">
        <v>23</v>
      </c>
      <c r="E500" s="2" t="s">
        <v>111</v>
      </c>
      <c r="F500" s="2" t="s">
        <v>111</v>
      </c>
      <c r="G500" s="6">
        <v>45435.0</v>
      </c>
      <c r="H500" s="2" t="s">
        <v>87</v>
      </c>
      <c r="I500" s="2" t="s">
        <v>67</v>
      </c>
      <c r="J500" s="2">
        <v>150303.33</v>
      </c>
    </row>
    <row r="501">
      <c r="A501" s="2" t="s">
        <v>1129</v>
      </c>
      <c r="B501" s="2" t="s">
        <v>856</v>
      </c>
      <c r="C501" s="2" t="s">
        <v>22</v>
      </c>
      <c r="D501" s="2" t="s">
        <v>85</v>
      </c>
      <c r="E501" s="2" t="s">
        <v>97</v>
      </c>
      <c r="F501" s="2" t="s">
        <v>111</v>
      </c>
      <c r="G501" s="6">
        <v>45443.0</v>
      </c>
      <c r="H501" s="2" t="s">
        <v>87</v>
      </c>
      <c r="I501" s="2" t="s">
        <v>67</v>
      </c>
      <c r="J501" s="2">
        <v>18561.63</v>
      </c>
    </row>
    <row r="502">
      <c r="A502" s="2" t="s">
        <v>1130</v>
      </c>
      <c r="B502" s="2" t="s">
        <v>89</v>
      </c>
      <c r="C502" s="2" t="s">
        <v>34</v>
      </c>
      <c r="D502" s="2" t="s">
        <v>51</v>
      </c>
      <c r="E502" s="2" t="s">
        <v>74</v>
      </c>
      <c r="F502" s="2" t="s">
        <v>51</v>
      </c>
      <c r="G502" s="6">
        <v>45550.0</v>
      </c>
      <c r="H502" s="2" t="s">
        <v>73</v>
      </c>
      <c r="I502" s="2" t="s">
        <v>59</v>
      </c>
      <c r="J502" s="2">
        <v>19192.1</v>
      </c>
    </row>
    <row r="503">
      <c r="A503" s="2" t="s">
        <v>1131</v>
      </c>
      <c r="B503" s="2" t="s">
        <v>1132</v>
      </c>
      <c r="C503" s="2" t="s">
        <v>34</v>
      </c>
      <c r="D503" s="2" t="s">
        <v>90</v>
      </c>
      <c r="E503" s="2" t="s">
        <v>104</v>
      </c>
      <c r="F503" s="2" t="s">
        <v>90</v>
      </c>
      <c r="G503" s="6">
        <v>45579.0</v>
      </c>
      <c r="H503" s="2" t="s">
        <v>49</v>
      </c>
      <c r="I503" s="2" t="s">
        <v>39</v>
      </c>
      <c r="J503" s="2">
        <v>6409.59</v>
      </c>
    </row>
    <row r="504">
      <c r="A504" s="2" t="s">
        <v>1133</v>
      </c>
      <c r="B504" s="2" t="s">
        <v>1134</v>
      </c>
      <c r="C504" s="2" t="s">
        <v>22</v>
      </c>
      <c r="D504" s="2" t="s">
        <v>62</v>
      </c>
      <c r="E504" s="2" t="s">
        <v>111</v>
      </c>
      <c r="F504" s="2" t="s">
        <v>111</v>
      </c>
      <c r="G504" s="6">
        <v>45558.0</v>
      </c>
      <c r="H504" s="2" t="s">
        <v>73</v>
      </c>
      <c r="I504" s="2" t="s">
        <v>59</v>
      </c>
      <c r="J504" s="2">
        <v>11526.47</v>
      </c>
    </row>
    <row r="505">
      <c r="A505" s="2" t="s">
        <v>1135</v>
      </c>
      <c r="B505" s="2" t="s">
        <v>1136</v>
      </c>
      <c r="C505" s="2" t="s">
        <v>34</v>
      </c>
      <c r="D505" s="2" t="s">
        <v>90</v>
      </c>
      <c r="E505" s="2" t="s">
        <v>90</v>
      </c>
      <c r="F505" s="2" t="s">
        <v>90</v>
      </c>
      <c r="G505" s="6">
        <v>45432.0</v>
      </c>
      <c r="H505" s="2" t="s">
        <v>87</v>
      </c>
      <c r="I505" s="2" t="s">
        <v>67</v>
      </c>
      <c r="J505" s="2">
        <v>15847.41</v>
      </c>
    </row>
    <row r="506">
      <c r="A506" s="2" t="s">
        <v>1138</v>
      </c>
      <c r="B506" s="2" t="s">
        <v>311</v>
      </c>
      <c r="C506" s="2" t="s">
        <v>34</v>
      </c>
      <c r="D506" s="2" t="s">
        <v>54</v>
      </c>
      <c r="E506" s="2" t="s">
        <v>196</v>
      </c>
      <c r="F506" s="2" t="s">
        <v>54</v>
      </c>
      <c r="G506" s="6">
        <v>45580.0</v>
      </c>
      <c r="H506" s="2" t="s">
        <v>49</v>
      </c>
      <c r="I506" s="2" t="s">
        <v>39</v>
      </c>
      <c r="J506" s="2">
        <v>27190.14</v>
      </c>
    </row>
    <row r="507">
      <c r="A507" s="2" t="s">
        <v>1139</v>
      </c>
      <c r="B507" s="2" t="s">
        <v>1140</v>
      </c>
      <c r="C507" s="2" t="s">
        <v>34</v>
      </c>
      <c r="D507" s="2" t="s">
        <v>31</v>
      </c>
      <c r="E507" s="2" t="s">
        <v>35</v>
      </c>
      <c r="F507" s="2" t="s">
        <v>31</v>
      </c>
      <c r="G507" s="6">
        <v>45609.0</v>
      </c>
      <c r="H507" s="2" t="s">
        <v>142</v>
      </c>
      <c r="I507" s="2" t="s">
        <v>39</v>
      </c>
      <c r="J507" s="2">
        <v>38410.74</v>
      </c>
    </row>
    <row r="508">
      <c r="A508" s="2" t="s">
        <v>1141</v>
      </c>
      <c r="B508" s="2" t="s">
        <v>1142</v>
      </c>
      <c r="C508" s="2" t="s">
        <v>34</v>
      </c>
      <c r="D508" s="2" t="s">
        <v>31</v>
      </c>
      <c r="E508" s="2" t="s">
        <v>145</v>
      </c>
      <c r="F508" s="2" t="s">
        <v>31</v>
      </c>
      <c r="G508" s="6">
        <v>45873.0</v>
      </c>
      <c r="H508" s="2" t="s">
        <v>108</v>
      </c>
      <c r="I508" s="2" t="s">
        <v>59</v>
      </c>
      <c r="J508" s="2">
        <v>47916.7</v>
      </c>
    </row>
    <row r="509">
      <c r="A509" s="2" t="s">
        <v>1143</v>
      </c>
      <c r="B509" s="2" t="s">
        <v>337</v>
      </c>
      <c r="C509" s="2" t="s">
        <v>22</v>
      </c>
      <c r="D509" s="2" t="s">
        <v>23</v>
      </c>
      <c r="E509" s="2" t="s">
        <v>63</v>
      </c>
      <c r="F509" s="2" t="s">
        <v>111</v>
      </c>
      <c r="G509" s="6">
        <v>45611.0</v>
      </c>
      <c r="H509" s="2" t="s">
        <v>142</v>
      </c>
      <c r="I509" s="2" t="s">
        <v>39</v>
      </c>
      <c r="J509" s="2">
        <v>216608.07</v>
      </c>
    </row>
    <row r="510">
      <c r="A510" s="2" t="s">
        <v>1144</v>
      </c>
      <c r="B510" s="2" t="s">
        <v>833</v>
      </c>
      <c r="C510" s="2" t="s">
        <v>34</v>
      </c>
      <c r="D510" s="2" t="s">
        <v>51</v>
      </c>
      <c r="E510" s="2" t="s">
        <v>68</v>
      </c>
      <c r="F510" s="2" t="s">
        <v>51</v>
      </c>
      <c r="G510" s="6">
        <v>45650.0</v>
      </c>
      <c r="H510" s="2" t="s">
        <v>38</v>
      </c>
      <c r="I510" s="2" t="s">
        <v>39</v>
      </c>
      <c r="J510" s="2">
        <v>8160.57</v>
      </c>
    </row>
    <row r="511">
      <c r="A511" s="2" t="s">
        <v>1146</v>
      </c>
      <c r="B511" s="2" t="s">
        <v>1147</v>
      </c>
      <c r="C511" s="2" t="s">
        <v>34</v>
      </c>
      <c r="D511" s="2" t="s">
        <v>82</v>
      </c>
      <c r="E511" s="2" t="s">
        <v>418</v>
      </c>
      <c r="F511" s="2" t="s">
        <v>82</v>
      </c>
      <c r="G511" s="6">
        <v>45395.0</v>
      </c>
      <c r="H511" s="2" t="s">
        <v>66</v>
      </c>
      <c r="I511" s="2" t="s">
        <v>67</v>
      </c>
      <c r="J511" s="2">
        <v>-9645.64</v>
      </c>
    </row>
    <row r="512">
      <c r="A512" s="2" t="s">
        <v>1148</v>
      </c>
      <c r="B512" s="2" t="s">
        <v>1149</v>
      </c>
      <c r="C512" s="2" t="s">
        <v>22</v>
      </c>
      <c r="D512" s="2" t="s">
        <v>23</v>
      </c>
      <c r="E512" s="2" t="s">
        <v>63</v>
      </c>
      <c r="F512" s="2" t="s">
        <v>111</v>
      </c>
      <c r="G512" s="6">
        <v>45398.0</v>
      </c>
      <c r="H512" s="2" t="s">
        <v>66</v>
      </c>
      <c r="I512" s="2" t="s">
        <v>67</v>
      </c>
      <c r="J512" s="2">
        <v>159598.23</v>
      </c>
    </row>
    <row r="513">
      <c r="A513" s="2" t="s">
        <v>1150</v>
      </c>
      <c r="B513" s="2" t="s">
        <v>1151</v>
      </c>
      <c r="C513" s="2" t="s">
        <v>22</v>
      </c>
      <c r="D513" s="2" t="s">
        <v>62</v>
      </c>
      <c r="E513" s="2" t="s">
        <v>24</v>
      </c>
      <c r="F513" s="2" t="s">
        <v>111</v>
      </c>
      <c r="G513" s="6">
        <v>45395.0</v>
      </c>
      <c r="H513" s="2" t="s">
        <v>66</v>
      </c>
      <c r="I513" s="2" t="s">
        <v>67</v>
      </c>
      <c r="J513" s="2">
        <v>8178.69</v>
      </c>
    </row>
    <row r="514">
      <c r="A514" s="2" t="s">
        <v>1152</v>
      </c>
      <c r="B514" s="2" t="s">
        <v>1153</v>
      </c>
      <c r="C514" s="2" t="s">
        <v>22</v>
      </c>
      <c r="D514" s="2" t="s">
        <v>85</v>
      </c>
      <c r="E514" s="2" t="s">
        <v>97</v>
      </c>
      <c r="F514" s="2" t="s">
        <v>111</v>
      </c>
      <c r="G514" s="6">
        <v>45597.0</v>
      </c>
      <c r="H514" s="2" t="s">
        <v>142</v>
      </c>
      <c r="I514" s="2" t="s">
        <v>39</v>
      </c>
      <c r="J514" s="2">
        <v>30746.2</v>
      </c>
    </row>
    <row r="515">
      <c r="A515" s="2" t="s">
        <v>1154</v>
      </c>
      <c r="B515" s="2" t="s">
        <v>1155</v>
      </c>
      <c r="C515" s="2" t="s">
        <v>34</v>
      </c>
      <c r="D515" s="2" t="s">
        <v>82</v>
      </c>
      <c r="E515" s="2" t="s">
        <v>81</v>
      </c>
      <c r="F515" s="2" t="s">
        <v>82</v>
      </c>
      <c r="G515" s="6">
        <v>45349.0</v>
      </c>
      <c r="H515" s="2" t="s">
        <v>126</v>
      </c>
      <c r="I515" s="2" t="s">
        <v>29</v>
      </c>
      <c r="J515" s="2">
        <v>23175.55</v>
      </c>
    </row>
    <row r="516">
      <c r="A516" s="2" t="s">
        <v>1156</v>
      </c>
      <c r="B516" s="2" t="s">
        <v>1157</v>
      </c>
      <c r="C516" s="2" t="s">
        <v>34</v>
      </c>
      <c r="D516" s="2" t="s">
        <v>31</v>
      </c>
      <c r="E516" s="2" t="s">
        <v>30</v>
      </c>
      <c r="F516" s="2" t="s">
        <v>31</v>
      </c>
      <c r="G516" s="6">
        <v>45339.0</v>
      </c>
      <c r="H516" s="2" t="s">
        <v>126</v>
      </c>
      <c r="I516" s="2" t="s">
        <v>29</v>
      </c>
      <c r="J516" s="2">
        <v>20736.58</v>
      </c>
    </row>
    <row r="517">
      <c r="A517" s="2" t="s">
        <v>1158</v>
      </c>
      <c r="B517" s="2" t="s">
        <v>843</v>
      </c>
      <c r="C517" s="2" t="s">
        <v>22</v>
      </c>
      <c r="D517" s="2" t="s">
        <v>62</v>
      </c>
      <c r="E517" s="2" t="s">
        <v>24</v>
      </c>
      <c r="F517" s="2" t="s">
        <v>111</v>
      </c>
      <c r="G517" s="6">
        <v>45571.0</v>
      </c>
      <c r="H517" s="2" t="s">
        <v>49</v>
      </c>
      <c r="I517" s="2" t="s">
        <v>39</v>
      </c>
      <c r="J517" s="2">
        <v>32394.1</v>
      </c>
    </row>
    <row r="518">
      <c r="A518" s="2" t="s">
        <v>1159</v>
      </c>
      <c r="B518" s="2" t="s">
        <v>247</v>
      </c>
      <c r="C518" s="2" t="s">
        <v>34</v>
      </c>
      <c r="D518" s="2" t="s">
        <v>111</v>
      </c>
      <c r="E518" s="2" t="s">
        <v>63</v>
      </c>
      <c r="F518" s="2" t="s">
        <v>111</v>
      </c>
      <c r="G518" s="6">
        <v>45397.0</v>
      </c>
      <c r="H518" s="2" t="s">
        <v>66</v>
      </c>
      <c r="I518" s="2" t="s">
        <v>67</v>
      </c>
      <c r="J518" s="2">
        <v>44677.13</v>
      </c>
    </row>
    <row r="519">
      <c r="A519" s="2" t="s">
        <v>1160</v>
      </c>
      <c r="B519" s="2" t="s">
        <v>318</v>
      </c>
      <c r="C519" s="2" t="s">
        <v>34</v>
      </c>
      <c r="D519" s="2" t="s">
        <v>111</v>
      </c>
      <c r="E519" s="2" t="s">
        <v>111</v>
      </c>
      <c r="F519" s="2" t="s">
        <v>111</v>
      </c>
      <c r="G519" s="6">
        <v>45476.0</v>
      </c>
      <c r="H519" s="2" t="s">
        <v>58</v>
      </c>
      <c r="I519" s="2" t="s">
        <v>59</v>
      </c>
      <c r="J519" s="2">
        <v>23256.83</v>
      </c>
    </row>
    <row r="520">
      <c r="A520" s="2" t="s">
        <v>1161</v>
      </c>
      <c r="B520" s="2" t="s">
        <v>845</v>
      </c>
      <c r="C520" s="2" t="s">
        <v>22</v>
      </c>
      <c r="D520" s="2" t="s">
        <v>85</v>
      </c>
      <c r="E520" s="2" t="s">
        <v>63</v>
      </c>
      <c r="F520" s="2" t="s">
        <v>111</v>
      </c>
      <c r="G520" s="6">
        <v>45374.0</v>
      </c>
      <c r="H520" s="2" t="s">
        <v>44</v>
      </c>
      <c r="I520" s="2" t="s">
        <v>29</v>
      </c>
      <c r="J520" s="2">
        <v>18805.7</v>
      </c>
    </row>
    <row r="521">
      <c r="A521" s="2" t="s">
        <v>1162</v>
      </c>
      <c r="B521" s="2" t="s">
        <v>1163</v>
      </c>
      <c r="C521" s="2" t="s">
        <v>34</v>
      </c>
      <c r="D521" s="2" t="s">
        <v>90</v>
      </c>
      <c r="E521" s="2" t="s">
        <v>114</v>
      </c>
      <c r="F521" s="2" t="s">
        <v>90</v>
      </c>
      <c r="G521" s="6">
        <v>45601.0</v>
      </c>
      <c r="H521" s="2" t="s">
        <v>142</v>
      </c>
      <c r="I521" s="2" t="s">
        <v>39</v>
      </c>
      <c r="J521" s="2">
        <v>27339.38</v>
      </c>
    </row>
  </sheetData>
  <drawing r:id="rId1"/>
</worksheet>
</file>